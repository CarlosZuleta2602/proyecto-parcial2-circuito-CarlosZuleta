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9430e2207d46a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ñales" sheetId="1" r:id="R7c643e1012c14ff2"/>
    <x:sheet xmlns:r="http://schemas.openxmlformats.org/officeDocument/2006/relationships" name="Moore" sheetId="2" r:id="R009ee1f81969437b"/>
    <x:sheet xmlns:r="http://schemas.openxmlformats.org/officeDocument/2006/relationships" name="Mealy" sheetId="3" r:id="Rf387b04c2441438f"/>
    <x:sheet xmlns:r="http://schemas.openxmlformats.org/officeDocument/2006/relationships" name="Ecuaciones" sheetId="4" r:id="R4b8441b3ea0145f5"/>
    <x:sheet xmlns:r="http://schemas.openxmlformats.org/officeDocument/2006/relationships" name="Secuencias" sheetId="5" r:id="R23c66785e9f74b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0"/>
  </x:numFmts>
  <x:fonts count="5">
    <x:font>
      <x:sz val="11"/>
      <x:name val="Carlito"/>
    </x:font>
    <x:font>
      <x:sz val="10"/>
      <x:color rgb="FF172033"/>
      <x:name val="Arial"/>
    </x:font>
    <x:font>
      <x:b/>
      <x:sz val="15"/>
      <x:color rgb="FF172033"/>
      <x:name val="Arial"/>
    </x:font>
    <x:font>
      <x:i/>
      <x:sz val="10"/>
      <x:color rgb="FF475569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244B73"/>
      </x:patternFill>
    </x:fill>
    <x:fill>
      <x:patternFill patternType="solid">
        <x:fgColor rgb="FFF1F5F9"/>
      </x:patternFill>
    </x:fill>
  </x:fills>
  <x:borders count="1">
    <x:border/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3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3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1eec58eb194999" /><Relationship Type="http://schemas.openxmlformats.org/officeDocument/2006/relationships/theme" Target="/xl/theme/theme1.xml" Id="R2e9933cede5f463c" /><Relationship Type="http://schemas.openxmlformats.org/officeDocument/2006/relationships/sharedStrings" Target="/xl/sharedStrings.xml" Id="R8acbb92dcb174998" /><Relationship Type="http://schemas.openxmlformats.org/officeDocument/2006/relationships/worksheet" Target="/xl/worksheets/sheet1.xml" Id="R7c643e1012c14ff2" /><Relationship Type="http://schemas.openxmlformats.org/officeDocument/2006/relationships/worksheet" Target="/xl/worksheets/sheet2.xml" Id="R009ee1f81969437b" /><Relationship Type="http://schemas.openxmlformats.org/officeDocument/2006/relationships/worksheet" Target="/xl/worksheets/sheet3.xml" Id="Rf387b04c2441438f" /><Relationship Type="http://schemas.openxmlformats.org/officeDocument/2006/relationships/worksheet" Target="/xl/worksheets/sheet4.xml" Id="R4b8441b3ea0145f5" /><Relationship Type="http://schemas.openxmlformats.org/officeDocument/2006/relationships/worksheet" Target="/xl/worksheets/sheet5.xml" Id="R23c66785e9f74b4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7" hidden="0" customWidth="1"/>
    <x:col min="3" max="3" width="44" hidden="0" customWidth="1"/>
    <x:col min="4" max="4" width="75" hidden="0" customWidth="1"/>
  </x:cols>
  <x:sheetData>
    <x:row r="1" ht="23" customHeight="1">
      <x:c r="A1" s="2"/>
      <x:c r="B1" s="2"/>
      <x:c r="C1" s="2"/>
      <x:c r="D1" s="2"/>
    </x:row>
    <x:row r="2" ht="30" customHeight="1">
      <x:c r="A2" s="3" t="str">
        <x:v>Señales del sistema de envases</x:v>
      </x:c>
      <x:c r="B2" s="2"/>
      <x:c r="C2" s="2"/>
      <x:c r="D2" s="2"/>
    </x:row>
    <x:row r="3" ht="23" customHeight="1">
      <x:c r="A3" s="4" t="str">
        <x:v>Modelo de una estación y un envase por ciclo. Señales activas en 1.</x:v>
      </x:c>
      <x:c r="B3" s="2"/>
      <x:c r="C3" s="2"/>
      <x:c r="D3" s="2"/>
    </x:row>
    <x:row r="4" ht="23" customHeight="1">
      <x:c r="A4" s="2"/>
      <x:c r="B4" s="2"/>
      <x:c r="C4" s="2"/>
      <x:c r="D4" s="2"/>
    </x:row>
    <x:row r="5" ht="29" customHeight="1">
      <x:c r="A5" s="8" t="str">
        <x:v>Señal</x:v>
      </x:c>
      <x:c r="B5" s="8" t="str">
        <x:v>Función</x:v>
      </x:c>
      <x:c r="C5" s="8" t="str">
        <x:v>Significado de 1</x:v>
      </x:c>
      <x:c r="D5" s="8" t="str">
        <x:v>Regla de uso</x:v>
      </x:c>
    </x:row>
    <x:row r="6" ht="40" customHeight="1">
      <x:c r="A6" s="10" t="str">
        <x:v>CLK</x:v>
      </x:c>
      <x:c r="B6" s="10" t="str">
        <x:v>Entrada común</x:v>
      </x:c>
      <x:c r="C6" s="10" t="str">
        <x:v>Flanco ascendente</x:v>
      </x:c>
      <x:c r="D6" s="10" t="str">
        <x:v>Actualiza los cuatro flip-flops al mismo tiempo.</x:v>
      </x:c>
    </x:row>
    <x:row r="7" ht="40" customHeight="1">
      <x:c r="A7" s="11" t="str">
        <x:v>RST</x:v>
      </x:c>
      <x:c r="B7" s="11" t="str">
        <x:v>Entrada común</x:v>
      </x:c>
      <x:c r="C7" s="11" t="str">
        <x:v>Reiniciar en el próximo flanco</x:v>
      </x:c>
      <x:c r="D7" s="11" t="str">
        <x:v>Lleva ambos registros a 00; prioridad sobre las demás entradas.</x:v>
      </x:c>
    </x:row>
    <x:row r="8" ht="40" customHeight="1">
      <x:c r="A8" s="10" t="str">
        <x:v>E</x:v>
      </x:c>
      <x:c r="B8" s="10" t="str">
        <x:v>Entrada de Moore</x:v>
      </x:c>
      <x:c r="C8" s="10" t="str">
        <x:v>Envase en la estación</x:v>
      </x:c>
      <x:c r="D8" s="10" t="str">
        <x:v>Autoriza iniciar un ciclo únicamente en P0.</x:v>
      </x:c>
    </x:row>
    <x:row r="9" ht="40" customHeight="1">
      <x:c r="A9" s="11" t="str">
        <x:v>L</x:v>
      </x:c>
      <x:c r="B9" s="11" t="str">
        <x:v>Entrada de Moore</x:v>
      </x:c>
      <x:c r="C9" s="11" t="str">
        <x:v>Llenado terminado</x:v>
      </x:c>
      <x:c r="D9" s="11" t="str">
        <x:v>Válida en P1; apaga el llenado al cambiar a P2.</x:v>
      </x:c>
    </x:row>
    <x:row r="10" ht="40" customHeight="1">
      <x:c r="A10" s="10" t="str">
        <x:v>S</x:v>
      </x:c>
      <x:c r="B10" s="10" t="str">
        <x:v>Entrada de Moore</x:v>
      </x:c>
      <x:c r="C10" s="10" t="str">
        <x:v>Sellado terminado</x:v>
      </x:c>
      <x:c r="D10" s="10" t="str">
        <x:v>Válida en P2; permite pasar a inspección.</x:v>
      </x:c>
    </x:row>
    <x:row r="11" ht="40" customHeight="1">
      <x:c r="A11" s="11" t="str">
        <x:v>I</x:v>
      </x:c>
      <x:c r="B11" s="11" t="str">
        <x:v>Entrada de Mealy</x:v>
      </x:c>
      <x:c r="C11" s="11" t="str">
        <x:v>Resultado de inspección listo</x:v>
      </x:c>
      <x:c r="D11" s="11" t="str">
        <x:v>Se evalúa junto con G cuando Q=1 y el bloque está en B0.</x:v>
      </x:c>
    </x:row>
    <x:row r="12" ht="40" customHeight="1">
      <x:c r="A12" s="10" t="str">
        <x:v>G</x:v>
      </x:c>
      <x:c r="B12" s="10" t="str">
        <x:v>Entrada de Mealy</x:v>
      </x:c>
      <x:c r="C12" s="10" t="str">
        <x:v>Sello correcto</x:v>
      </x:c>
      <x:c r="D12" s="10" t="str">
        <x:v>Con I=1, G=0 indica defecto y G=1 indica aceptación.</x:v>
      </x:c>
    </x:row>
    <x:row r="13" ht="40" customHeight="1">
      <x:c r="A13" s="11" t="str">
        <x:v>R</x:v>
      </x:c>
      <x:c r="B13" s="11" t="str">
        <x:v>Entrada de Mealy</x:v>
      </x:c>
      <x:c r="C13" s="11" t="str">
        <x:v>Envase completamente retirado</x:v>
      </x:c>
      <x:c r="D13" s="11" t="str">
        <x:v>Válida en B1 o B2. Debe valer 0 antes de iniciar un nuevo retiro.</x:v>
      </x:c>
    </x:row>
    <x:row r="14" ht="40" customHeight="1">
      <x:c r="A14" s="10" t="str">
        <x:v>Q</x:v>
      </x:c>
      <x:c r="B14" s="10" t="str">
        <x:v>Moore hacia Mealy</x:v>
      </x:c>
      <x:c r="C14" s="10" t="str">
        <x:v>Solicitar inspección y clasificación</x:v>
      </x:c>
      <x:c r="D14" s="10" t="str">
        <x:v>Es la salida INS del bloque Moore. Se mantiene hasta F=1.</x:v>
      </x:c>
    </x:row>
    <x:row r="15" ht="40" customHeight="1">
      <x:c r="A15" s="11" t="str">
        <x:v>F</x:v>
      </x:c>
      <x:c r="B15" s="11" t="str">
        <x:v>Mealy hacia Moore</x:v>
      </x:c>
      <x:c r="C15" s="11" t="str">
        <x:v>Retiro terminado y estación libre</x:v>
      </x:c>
      <x:c r="D15" s="11" t="str">
        <x:v>Puede corresponder a un envase correcto o rechazado; no acredita calidad.</x:v>
      </x:c>
    </x:row>
    <x:row r="16" ht="40" customHeight="1">
      <x:c r="A16" s="10" t="str">
        <x:v>LL</x:v>
      </x:c>
      <x:c r="B16" s="10" t="str">
        <x:v>Salida Moore</x:v>
      </x:c>
      <x:c r="C16" s="10" t="str">
        <x:v>Abrir válvula de llenado</x:v>
      </x:c>
      <x:c r="D16" s="10" t="str">
        <x:v>Activa únicamente en P1.</x:v>
      </x:c>
    </x:row>
    <x:row r="17" ht="40" customHeight="1">
      <x:c r="A17" s="11" t="str">
        <x:v>SL</x:v>
      </x:c>
      <x:c r="B17" s="11" t="str">
        <x:v>Salida Moore</x:v>
      </x:c>
      <x:c r="C17" s="11" t="str">
        <x:v>Activar selladora</x:v>
      </x:c>
      <x:c r="D17" s="11" t="str">
        <x:v>Activa únicamente en P2.</x:v>
      </x:c>
    </x:row>
    <x:row r="18" ht="40" customHeight="1">
      <x:c r="A18" s="10" t="str">
        <x:v>INS</x:v>
      </x:c>
      <x:c r="B18" s="10" t="str">
        <x:v>Salida Moore</x:v>
      </x:c>
      <x:c r="C18" s="10" t="str">
        <x:v>Habilitar inspección</x:v>
      </x:c>
      <x:c r="D18" s="10" t="str">
        <x:v>Activa en P3. Es la misma señal que Q.</x:v>
      </x:c>
    </x:row>
    <x:row r="19" ht="40" customHeight="1">
      <x:c r="A19" s="11" t="str">
        <x:v>AV</x:v>
      </x:c>
      <x:c r="B19" s="11" t="str">
        <x:v>Salida Mealy</x:v>
      </x:c>
      <x:c r="C19" s="11" t="str">
        <x:v>Mover envase hacia la salida</x:v>
      </x:c>
      <x:c r="D19" s="11" t="str">
        <x:v>Activa en B1 o B2 mientras R=0.</x:v>
      </x:c>
    </x:row>
    <x:row r="20" ht="40" customHeight="1">
      <x:c r="A20" s="10" t="str">
        <x:v>DV</x:v>
      </x:c>
      <x:c r="B20" s="10" t="str">
        <x:v>Salida Mealy</x:v>
      </x:c>
      <x:c r="C20" s="10" t="str">
        <x:v>Activar desviador de rechazo</x:v>
      </x:c>
      <x:c r="D20" s="10" t="str">
        <x:v>Activa en B2 mientras R=0; se acompaña de AV.</x:v>
      </x:c>
    </x:row>
    <x:row r="21" ht="40" customHeight="1">
      <x:c r="A21" s="11" t="str">
        <x:v>ERR</x:v>
      </x:c>
      <x:c r="B21" s="11" t="str">
        <x:v>Salida de estado</x:v>
      </x:c>
      <x:c r="C21" s="11" t="str">
        <x:v>Indicar defecto detectado</x:v>
      </x:c>
      <x:c r="D21" s="11" t="str">
        <x:v>Activa mientras B2 esté ocupado. No queda memorizada después del retiro.</x:v>
      </x:c>
    </x:row>
    <x:row r="22" ht="40" customHeight="1">
      <x:c r="A22" s="10" t="str">
        <x:v>OK</x:v>
      </x:c>
      <x:c r="B22" s="10" t="str">
        <x:v>Salida Mealy</x:v>
      </x:c>
      <x:c r="C22" s="10" t="str">
        <x:v>Confirmar retiro de producto válido</x:v>
      </x:c>
      <x:c r="D22" s="10" t="str">
        <x:v>Activa solo en B1 con R=1, hasta el siguiente flanco. No se activa en rechazo.</x:v>
      </x:c>
    </x:row>
    <x:row r="23" ht="23" customHeight="1">
      <x:c r="A23" s="2"/>
      <x:c r="B23" s="2"/>
      <x:c r="C23" s="2"/>
      <x:c r="D23" s="2"/>
    </x:row>
    <x:row r="24" ht="23" customHeight="1">
      <x:c r="A24" s="2"/>
      <x:c r="B24" s="2"/>
      <x:c r="C24" s="2"/>
      <x:c r="D24" s="2"/>
    </x:row>
    <x:row r="25" ht="29" customHeight="1">
      <x:c r="A25" s="8" t="str">
        <x:v>Bloque</x:v>
      </x:c>
      <x:c r="B25" s="8" t="str">
        <x:v>Estado</x:v>
      </x:c>
      <x:c r="C25" s="8" t="str">
        <x:v>Código binario</x:v>
      </x:c>
      <x:c r="D25" s="8" t="str">
        <x:v>Acción</x:v>
      </x:c>
    </x:row>
    <x:row r="26" ht="23" customHeight="1">
      <x:c r="A26" s="2" t="str">
        <x:v>Moore</x:v>
      </x:c>
      <x:c r="B26" s="2" t="str">
        <x:v>P0</x:v>
      </x:c>
      <x:c r="C26" s="12" t="str">
        <x:v>00</x:v>
      </x:c>
      <x:c r="D26" s="2" t="str">
        <x:v>Espera un envase</x:v>
      </x:c>
    </x:row>
    <x:row r="27" ht="23" customHeight="1">
      <x:c r="A27" s="9" t="str">
        <x:v>Moore</x:v>
      </x:c>
      <x:c r="B27" s="9" t="str">
        <x:v>P1</x:v>
      </x:c>
      <x:c r="C27" s="13" t="str">
        <x:v>01</x:v>
      </x:c>
      <x:c r="D27" s="9" t="str">
        <x:v>Activa LL</x:v>
      </x:c>
    </x:row>
    <x:row r="28" ht="23" customHeight="1">
      <x:c r="A28" s="2" t="str">
        <x:v>Moore</x:v>
      </x:c>
      <x:c r="B28" s="2" t="str">
        <x:v>P2</x:v>
      </x:c>
      <x:c r="C28" s="12" t="str">
        <x:v>10</x:v>
      </x:c>
      <x:c r="D28" s="2" t="str">
        <x:v>Activa SL</x:v>
      </x:c>
    </x:row>
    <x:row r="29" ht="23" customHeight="1">
      <x:c r="A29" s="9" t="str">
        <x:v>Moore</x:v>
      </x:c>
      <x:c r="B29" s="9" t="str">
        <x:v>P3</x:v>
      </x:c>
      <x:c r="C29" s="13" t="str">
        <x:v>11</x:v>
      </x:c>
      <x:c r="D29" s="9" t="str">
        <x:v>Activa INS=Q y espera F</x:v>
      </x:c>
    </x:row>
    <x:row r="30" ht="23" customHeight="1">
      <x:c r="A30" s="2" t="str">
        <x:v>Mealy</x:v>
      </x:c>
      <x:c r="B30" s="2" t="str">
        <x:v>B0</x:v>
      </x:c>
      <x:c r="C30" s="12" t="str">
        <x:v>00</x:v>
      </x:c>
      <x:c r="D30" s="2" t="str">
        <x:v>Espera Q e I; guarda el resultado G</x:v>
      </x:c>
    </x:row>
    <x:row r="31" ht="23" customHeight="1">
      <x:c r="A31" s="9" t="str">
        <x:v>Mealy</x:v>
      </x:c>
      <x:c r="B31" s="9" t="str">
        <x:v>B1</x:v>
      </x:c>
      <x:c r="C31" s="13" t="str">
        <x:v>01</x:v>
      </x:c>
      <x:c r="D31" s="9" t="str">
        <x:v>Retira el envase aceptado hasta R</x:v>
      </x:c>
    </x:row>
    <x:row r="32" ht="23" customHeight="1">
      <x:c r="A32" s="2" t="str">
        <x:v>Mealy</x:v>
      </x:c>
      <x:c r="B32" s="2" t="str">
        <x:v>B2</x:v>
      </x:c>
      <x:c r="C32" s="12" t="str">
        <x:v>10</x:v>
      </x:c>
      <x:c r="D32" s="2" t="str">
        <x:v>Retira el envase rechazado hasta R</x:v>
      </x:c>
    </x:row>
    <x:row r="33" ht="23" customHeight="1">
      <x:c r="A33" s="9" t="str">
        <x:v>Mealy</x:v>
      </x:c>
      <x:c r="B33" s="9" t="str">
        <x:v>B3</x:v>
      </x:c>
      <x:c r="C33" s="13" t="str">
        <x:v>11</x:v>
      </x:c>
      <x:c r="D33" s="9" t="str">
        <x:v>Espera Q=0 antes de admitir otro resultado</x:v>
      </x:c>
    </x:row>
    <x:row r="34" ht="23" customHeight="1">
      <x:c r="A34" s="2"/>
      <x:c r="B34" s="2"/>
      <x:c r="C34" s="2"/>
      <x:c r="D34" s="2"/>
    </x:row>
    <x:row r="35" ht="23" customHeight="1">
      <x:c r="A35" s="4" t="str">
        <x:v>Referencia metodológica: DDCAarm_Ch2 y Ch3, y FSM Washer.xlsx facilitados en clase. Diseño de envases propio de este modelo.</x:v>
      </x:c>
      <x:c r="B35" s="2"/>
      <x:c r="C35" s="2"/>
      <x:c r="D35" s="2"/>
    </x:row>
    <x:row r="36" ht="23" customHeight="1">
      <x:c r="A36" s="2"/>
      <x:c r="B36" s="2"/>
      <x:c r="C36" s="2"/>
      <x:c r="D36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2" ht="30" customHeight="1">
      <x:c r="A2" s="3" t="str">
        <x:v>Moore estados y transiciones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</x:row>
    <x:row r="3" ht="23" customHeight="1">
      <x:c r="A3" s="4" t="str">
        <x:v>RST=0 en las tablas. Con RST=1, ambos bits siguientes son 0. X significa entrada irrelevante.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</x:row>
    <x:row r="5" ht="29" customHeight="1">
      <x:c r="A5" s="8" t="str">
        <x:v>Estado</x:v>
      </x:c>
      <x:c r="B5" s="8" t="str">
        <x:v>p1</x:v>
      </x:c>
      <x:c r="C5" s="8" t="str">
        <x:v>p0</x:v>
      </x:c>
      <x:c r="D5" s="8" t="str">
        <x:v>E</x:v>
      </x:c>
      <x:c r="E5" s="8" t="str">
        <x:v>L</x:v>
      </x:c>
      <x:c r="F5" s="8" t="str">
        <x:v>S</x:v>
      </x:c>
      <x:c r="G5" s="8" t="str">
        <x:v>F</x:v>
      </x:c>
      <x:c r="H5" s="8" t="str">
        <x:v>p1+</x:v>
      </x:c>
      <x:c r="I5" s="8" t="str">
        <x:v>p0+</x:v>
      </x:c>
      <x:c r="J5" s="8" t="str">
        <x:v>LL</x:v>
      </x:c>
      <x:c r="K5" s="8" t="str">
        <x:v>SL</x:v>
      </x:c>
      <x:c r="L5" s="8" t="str">
        <x:v>INS=Q</x:v>
      </x:c>
    </x:row>
    <x:row r="6" ht="23" customHeight="1">
      <x:c r="A6" s="2" t="str">
        <x:v>P0</x:v>
      </x:c>
      <x:c r="B6" s="14" t="n">
        <x:v>0</x:v>
      </x:c>
      <x:c r="C6" s="14" t="n">
        <x:v>0</x:v>
      </x:c>
      <x:c r="D6" s="14" t="n">
        <x:v>0</x:v>
      </x:c>
      <x:c r="E6" s="14" t="str">
        <x:v>X</x:v>
      </x:c>
      <x:c r="F6" s="14" t="str">
        <x:v>X</x:v>
      </x:c>
      <x:c r="G6" s="14" t="str">
        <x:v>X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</x:row>
    <x:row r="7" ht="23" customHeight="1">
      <x:c r="A7" s="9" t="str">
        <x:v>P0</x:v>
      </x:c>
      <x:c r="B7" s="15" t="n">
        <x:v>0</x:v>
      </x:c>
      <x:c r="C7" s="15" t="n">
        <x:v>0</x:v>
      </x:c>
      <x:c r="D7" s="15" t="n">
        <x:v>1</x:v>
      </x:c>
      <x:c r="E7" s="15" t="str">
        <x:v>X</x:v>
      </x:c>
      <x:c r="F7" s="15" t="str">
        <x:v>X</x:v>
      </x:c>
      <x:c r="G7" s="15" t="str">
        <x:v>X</x:v>
      </x:c>
      <x:c r="H7" s="15" t="n">
        <x:v>0</x:v>
      </x:c>
      <x:c r="I7" s="15" t="n">
        <x:v>1</x:v>
      </x:c>
      <x:c r="J7" s="15" t="n">
        <x:v>0</x:v>
      </x:c>
      <x:c r="K7" s="15" t="n">
        <x:v>0</x:v>
      </x:c>
      <x:c r="L7" s="15" t="n">
        <x:v>0</x:v>
      </x:c>
    </x:row>
    <x:row r="8" ht="23" customHeight="1">
      <x:c r="A8" s="2" t="str">
        <x:v>P1</x:v>
      </x:c>
      <x:c r="B8" s="14" t="n">
        <x:v>0</x:v>
      </x:c>
      <x:c r="C8" s="14" t="n">
        <x:v>1</x:v>
      </x:c>
      <x:c r="D8" s="14" t="str">
        <x:v>X</x:v>
      </x:c>
      <x:c r="E8" s="14" t="n">
        <x:v>0</x:v>
      </x:c>
      <x:c r="F8" s="14" t="str">
        <x:v>X</x:v>
      </x:c>
      <x:c r="G8" s="14" t="str">
        <x:v>X</x:v>
      </x:c>
      <x:c r="H8" s="14" t="n">
        <x:v>0</x:v>
      </x:c>
      <x:c r="I8" s="14" t="n">
        <x:v>1</x:v>
      </x:c>
      <x:c r="J8" s="14" t="n">
        <x:v>1</x:v>
      </x:c>
      <x:c r="K8" s="14" t="n">
        <x:v>0</x:v>
      </x:c>
      <x:c r="L8" s="14" t="n">
        <x:v>0</x:v>
      </x:c>
    </x:row>
    <x:row r="9" ht="23" customHeight="1">
      <x:c r="A9" s="9" t="str">
        <x:v>P1</x:v>
      </x:c>
      <x:c r="B9" s="15" t="n">
        <x:v>0</x:v>
      </x:c>
      <x:c r="C9" s="15" t="n">
        <x:v>1</x:v>
      </x:c>
      <x:c r="D9" s="15" t="str">
        <x:v>X</x:v>
      </x:c>
      <x:c r="E9" s="15" t="n">
        <x:v>1</x:v>
      </x:c>
      <x:c r="F9" s="15" t="str">
        <x:v>X</x:v>
      </x:c>
      <x:c r="G9" s="15" t="str">
        <x:v>X</x:v>
      </x:c>
      <x:c r="H9" s="15" t="n">
        <x:v>1</x:v>
      </x:c>
      <x:c r="I9" s="15" t="n">
        <x:v>0</x:v>
      </x:c>
      <x:c r="J9" s="15" t="n">
        <x:v>1</x:v>
      </x:c>
      <x:c r="K9" s="15" t="n">
        <x:v>0</x:v>
      </x:c>
      <x:c r="L9" s="15" t="n">
        <x:v>0</x:v>
      </x:c>
    </x:row>
    <x:row r="10" ht="23" customHeight="1">
      <x:c r="A10" s="2" t="str">
        <x:v>P2</x:v>
      </x:c>
      <x:c r="B10" s="14" t="n">
        <x:v>1</x:v>
      </x:c>
      <x:c r="C10" s="14" t="n">
        <x:v>0</x:v>
      </x:c>
      <x:c r="D10" s="14" t="str">
        <x:v>X</x:v>
      </x:c>
      <x:c r="E10" s="14" t="str">
        <x:v>X</x:v>
      </x:c>
      <x:c r="F10" s="14" t="n">
        <x:v>0</x:v>
      </x:c>
      <x:c r="G10" s="14" t="str">
        <x:v>X</x:v>
      </x:c>
      <x:c r="H10" s="14" t="n">
        <x:v>1</x:v>
      </x:c>
      <x:c r="I10" s="14" t="n">
        <x:v>0</x:v>
      </x:c>
      <x:c r="J10" s="14" t="n">
        <x:v>0</x:v>
      </x:c>
      <x:c r="K10" s="14" t="n">
        <x:v>1</x:v>
      </x:c>
      <x:c r="L10" s="14" t="n">
        <x:v>0</x:v>
      </x:c>
    </x:row>
    <x:row r="11" ht="23" customHeight="1">
      <x:c r="A11" s="9" t="str">
        <x:v>P2</x:v>
      </x:c>
      <x:c r="B11" s="15" t="n">
        <x:v>1</x:v>
      </x:c>
      <x:c r="C11" s="15" t="n">
        <x:v>0</x:v>
      </x:c>
      <x:c r="D11" s="15" t="str">
        <x:v>X</x:v>
      </x:c>
      <x:c r="E11" s="15" t="str">
        <x:v>X</x:v>
      </x:c>
      <x:c r="F11" s="15" t="n">
        <x:v>1</x:v>
      </x:c>
      <x:c r="G11" s="15" t="str">
        <x:v>X</x:v>
      </x:c>
      <x:c r="H11" s="15" t="n">
        <x:v>1</x:v>
      </x:c>
      <x:c r="I11" s="15" t="n">
        <x:v>1</x:v>
      </x:c>
      <x:c r="J11" s="15" t="n">
        <x:v>0</x:v>
      </x:c>
      <x:c r="K11" s="15" t="n">
        <x:v>1</x:v>
      </x:c>
      <x:c r="L11" s="15" t="n">
        <x:v>0</x:v>
      </x:c>
    </x:row>
    <x:row r="12" ht="23" customHeight="1">
      <x:c r="A12" s="2" t="str">
        <x:v>P3</x:v>
      </x:c>
      <x:c r="B12" s="14" t="n">
        <x:v>1</x:v>
      </x:c>
      <x:c r="C12" s="14" t="n">
        <x:v>1</x:v>
      </x:c>
      <x:c r="D12" s="14" t="str">
        <x:v>X</x:v>
      </x:c>
      <x:c r="E12" s="14" t="str">
        <x:v>X</x:v>
      </x:c>
      <x:c r="F12" s="14" t="str">
        <x:v>X</x:v>
      </x:c>
      <x:c r="G12" s="14" t="n">
        <x:v>0</x:v>
      </x:c>
      <x:c r="H12" s="14" t="n">
        <x:v>1</x:v>
      </x:c>
      <x:c r="I12" s="14" t="n">
        <x:v>1</x:v>
      </x:c>
      <x:c r="J12" s="14" t="n">
        <x:v>0</x:v>
      </x:c>
      <x:c r="K12" s="14" t="n">
        <x:v>0</x:v>
      </x:c>
      <x:c r="L12" s="14" t="n">
        <x:v>1</x:v>
      </x:c>
    </x:row>
    <x:row r="13" ht="23" customHeight="1">
      <x:c r="A13" s="9" t="str">
        <x:v>P3</x:v>
      </x:c>
      <x:c r="B13" s="15" t="n">
        <x:v>1</x:v>
      </x:c>
      <x:c r="C13" s="15" t="n">
        <x:v>1</x:v>
      </x:c>
      <x:c r="D13" s="15" t="str">
        <x:v>X</x:v>
      </x:c>
      <x:c r="E13" s="15" t="str">
        <x:v>X</x:v>
      </x:c>
      <x:c r="F13" s="15" t="str">
        <x:v>X</x:v>
      </x:c>
      <x:c r="G13" s="15" t="n">
        <x:v>1</x:v>
      </x:c>
      <x:c r="H13" s="15" t="n">
        <x:v>0</x:v>
      </x:c>
      <x:c r="I13" s="15" t="n">
        <x:v>0</x:v>
      </x:c>
      <x:c r="J13" s="15" t="n">
        <x:v>0</x:v>
      </x:c>
      <x:c r="K13" s="15" t="n">
        <x:v>0</x:v>
      </x:c>
      <x:c r="L13" s="15" t="n">
        <x:v>1</x:v>
      </x:c>
    </x:row>
    <x:row r="14" ht="23" customHeight="1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</x:row>
    <x:row r="15" ht="23" customHeight="1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</x:row>
    <x:row r="17" ht="23" customHeight="1">
      <x:c r="A17" s="4" t="str">
        <x:v>Tabla exhaustiva de 64 combinaciones. Los bits siguientes y las salidas se calculan con fórmulas.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</x:row>
    <x:row r="19" ht="29" customHeight="1">
      <x:c r="A19" s="8" t="str">
        <x:v>Estado</x:v>
      </x:c>
      <x:c r="B19" s="8" t="str">
        <x:v>p1</x:v>
      </x:c>
      <x:c r="C19" s="8" t="str">
        <x:v>p0</x:v>
      </x:c>
      <x:c r="D19" s="8" t="str">
        <x:v>E</x:v>
      </x:c>
      <x:c r="E19" s="8" t="str">
        <x:v>L</x:v>
      </x:c>
      <x:c r="F19" s="8" t="str">
        <x:v>S</x:v>
      </x:c>
      <x:c r="G19" s="8" t="str">
        <x:v>F</x:v>
      </x:c>
      <x:c r="H19" s="8" t="str">
        <x:v>p1+</x:v>
      </x:c>
      <x:c r="I19" s="8" t="str">
        <x:v>p0+</x:v>
      </x:c>
      <x:c r="J19" s="8" t="str">
        <x:v>LL</x:v>
      </x:c>
      <x:c r="K19" s="8" t="str">
        <x:v>SL</x:v>
      </x:c>
      <x:c r="L19" s="8" t="str">
        <x:v>INS=Q</x:v>
      </x:c>
    </x:row>
    <x:row r="20" ht="23" customHeight="1">
      <x:c r="A20" s="2" t="str">
        <x:v>P0</x:v>
      </x:c>
      <x:c r="B20" s="14" t="n">
        <x:v>0</x:v>
      </x:c>
      <x:c r="C20" s="14" t="n">
        <x:v>0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f>IF(((1-B20)*C20*E20+B20*(1-C20)+B20*C20*(1-G20))&gt;0,1,0)</x:f>
        <x:v>0</x:v>
      </x:c>
      <x:c r="I20" s="14" t="n">
        <x:f>IF(((1-B20)*(1-C20)*D20+(1-B20)*C20*(1-E20)+B20*(1-C20)*F20+B20*C20*(1-G20))&gt;0,1,0)</x:f>
        <x:v>0</x:v>
      </x:c>
      <x:c r="J20" s="14" t="n">
        <x:f>(1-B20)*C20</x:f>
        <x:v>0</x:v>
      </x:c>
      <x:c r="K20" s="14" t="n">
        <x:f>B20*(1-C20)</x:f>
        <x:v>0</x:v>
      </x:c>
      <x:c r="L20" s="14" t="n">
        <x:f>B20*C20</x:f>
        <x:v>0</x:v>
      </x:c>
    </x:row>
    <x:row r="21" ht="23" customHeight="1">
      <x:c r="A21" s="9" t="str">
        <x:v>P0</x:v>
      </x:c>
      <x:c r="B21" s="15" t="n">
        <x:v>0</x:v>
      </x:c>
      <x:c r="C21" s="15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1</x:v>
      </x:c>
      <x:c r="H21" s="15" t="n">
        <x:f>IF(((1-B21)*C21*E21+B21*(1-C21)+B21*C21*(1-G21))&gt;0,1,0)</x:f>
        <x:v>0</x:v>
      </x:c>
      <x:c r="I21" s="15" t="n">
        <x:f>IF(((1-B21)*(1-C21)*D21+(1-B21)*C21*(1-E21)+B21*(1-C21)*F21+B21*C21*(1-G21))&gt;0,1,0)</x:f>
        <x:v>0</x:v>
      </x:c>
      <x:c r="J21" s="15" t="n">
        <x:f>(1-B21)*C21</x:f>
        <x:v>0</x:v>
      </x:c>
      <x:c r="K21" s="15" t="n">
        <x:f>B21*(1-C21)</x:f>
        <x:v>0</x:v>
      </x:c>
      <x:c r="L21" s="15" t="n">
        <x:f>B21*C21</x:f>
        <x:v>0</x:v>
      </x:c>
    </x:row>
    <x:row r="22" ht="23" customHeight="1">
      <x:c r="A22" s="2" t="str">
        <x:v>P0</x:v>
      </x:c>
      <x:c r="B22" s="14" t="n">
        <x:v>0</x:v>
      </x:c>
      <x:c r="C22" s="14" t="n">
        <x:v>0</x:v>
      </x:c>
      <x:c r="D22" s="14" t="n">
        <x:v>0</x:v>
      </x:c>
      <x:c r="E22" s="14" t="n">
        <x:v>0</x:v>
      </x:c>
      <x:c r="F22" s="14" t="n">
        <x:v>1</x:v>
      </x:c>
      <x:c r="G22" s="14" t="n">
        <x:v>0</x:v>
      </x:c>
      <x:c r="H22" s="14" t="n">
        <x:f>IF(((1-B22)*C22*E22+B22*(1-C22)+B22*C22*(1-G22))&gt;0,1,0)</x:f>
        <x:v>0</x:v>
      </x:c>
      <x:c r="I22" s="14" t="n">
        <x:f>IF(((1-B22)*(1-C22)*D22+(1-B22)*C22*(1-E22)+B22*(1-C22)*F22+B22*C22*(1-G22))&gt;0,1,0)</x:f>
        <x:v>0</x:v>
      </x:c>
      <x:c r="J22" s="14" t="n">
        <x:f>(1-B22)*C22</x:f>
        <x:v>0</x:v>
      </x:c>
      <x:c r="K22" s="14" t="n">
        <x:f>B22*(1-C22)</x:f>
        <x:v>0</x:v>
      </x:c>
      <x:c r="L22" s="14" t="n">
        <x:f>B22*C22</x:f>
        <x:v>0</x:v>
      </x:c>
    </x:row>
    <x:row r="23" ht="23" customHeight="1">
      <x:c r="A23" s="9" t="str">
        <x:v>P0</x:v>
      </x:c>
      <x:c r="B23" s="15" t="n">
        <x:v>0</x:v>
      </x:c>
      <x:c r="C23" s="15" t="n">
        <x:v>0</x:v>
      </x:c>
      <x:c r="D23" s="15" t="n">
        <x:v>0</x:v>
      </x:c>
      <x:c r="E23" s="15" t="n">
        <x:v>0</x:v>
      </x:c>
      <x:c r="F23" s="15" t="n">
        <x:v>1</x:v>
      </x:c>
      <x:c r="G23" s="15" t="n">
        <x:v>1</x:v>
      </x:c>
      <x:c r="H23" s="15" t="n">
        <x:f>IF(((1-B23)*C23*E23+B23*(1-C23)+B23*C23*(1-G23))&gt;0,1,0)</x:f>
        <x:v>0</x:v>
      </x:c>
      <x:c r="I23" s="15" t="n">
        <x:f>IF(((1-B23)*(1-C23)*D23+(1-B23)*C23*(1-E23)+B23*(1-C23)*F23+B23*C23*(1-G23))&gt;0,1,0)</x:f>
        <x:v>0</x:v>
      </x:c>
      <x:c r="J23" s="15" t="n">
        <x:f>(1-B23)*C23</x:f>
        <x:v>0</x:v>
      </x:c>
      <x:c r="K23" s="15" t="n">
        <x:f>B23*(1-C23)</x:f>
        <x:v>0</x:v>
      </x:c>
      <x:c r="L23" s="15" t="n">
        <x:f>B23*C23</x:f>
        <x:v>0</x:v>
      </x:c>
    </x:row>
    <x:row r="24" ht="23" customHeight="1">
      <x:c r="A24" s="2" t="str">
        <x:v>P0</x:v>
      </x:c>
      <x:c r="B24" s="14" t="n">
        <x:v>0</x:v>
      </x:c>
      <x:c r="C24" s="14" t="n">
        <x:v>0</x:v>
      </x:c>
      <x:c r="D24" s="14" t="n">
        <x:v>0</x:v>
      </x:c>
      <x:c r="E24" s="14" t="n">
        <x:v>1</x:v>
      </x:c>
      <x:c r="F24" s="14" t="n">
        <x:v>0</x:v>
      </x:c>
      <x:c r="G24" s="14" t="n">
        <x:v>0</x:v>
      </x:c>
      <x:c r="H24" s="14" t="n">
        <x:f>IF(((1-B24)*C24*E24+B24*(1-C24)+B24*C24*(1-G24))&gt;0,1,0)</x:f>
        <x:v>0</x:v>
      </x:c>
      <x:c r="I24" s="14" t="n">
        <x:f>IF(((1-B24)*(1-C24)*D24+(1-B24)*C24*(1-E24)+B24*(1-C24)*F24+B24*C24*(1-G24))&gt;0,1,0)</x:f>
        <x:v>0</x:v>
      </x:c>
      <x:c r="J24" s="14" t="n">
        <x:f>(1-B24)*C24</x:f>
        <x:v>0</x:v>
      </x:c>
      <x:c r="K24" s="14" t="n">
        <x:f>B24*(1-C24)</x:f>
        <x:v>0</x:v>
      </x:c>
      <x:c r="L24" s="14" t="n">
        <x:f>B24*C24</x:f>
        <x:v>0</x:v>
      </x:c>
    </x:row>
    <x:row r="25" ht="23" customHeight="1">
      <x:c r="A25" s="9" t="str">
        <x:v>P0</x:v>
      </x:c>
      <x:c r="B25" s="15" t="n">
        <x:v>0</x:v>
      </x:c>
      <x:c r="C25" s="15" t="n">
        <x:v>0</x:v>
      </x:c>
      <x:c r="D25" s="15" t="n">
        <x:v>0</x:v>
      </x:c>
      <x:c r="E25" s="15" t="n">
        <x:v>1</x:v>
      </x:c>
      <x:c r="F25" s="15" t="n">
        <x:v>0</x:v>
      </x:c>
      <x:c r="G25" s="15" t="n">
        <x:v>1</x:v>
      </x:c>
      <x:c r="H25" s="15" t="n">
        <x:f>IF(((1-B25)*C25*E25+B25*(1-C25)+B25*C25*(1-G25))&gt;0,1,0)</x:f>
        <x:v>0</x:v>
      </x:c>
      <x:c r="I25" s="15" t="n">
        <x:f>IF(((1-B25)*(1-C25)*D25+(1-B25)*C25*(1-E25)+B25*(1-C25)*F25+B25*C25*(1-G25))&gt;0,1,0)</x:f>
        <x:v>0</x:v>
      </x:c>
      <x:c r="J25" s="15" t="n">
        <x:f>(1-B25)*C25</x:f>
        <x:v>0</x:v>
      </x:c>
      <x:c r="K25" s="15" t="n">
        <x:f>B25*(1-C25)</x:f>
        <x:v>0</x:v>
      </x:c>
      <x:c r="L25" s="15" t="n">
        <x:f>B25*C25</x:f>
        <x:v>0</x:v>
      </x:c>
    </x:row>
    <x:row r="26" ht="23" customHeight="1">
      <x:c r="A26" s="2" t="str">
        <x:v>P0</x:v>
      </x:c>
      <x:c r="B26" s="14" t="n">
        <x:v>0</x:v>
      </x:c>
      <x:c r="C26" s="14" t="n">
        <x:v>0</x:v>
      </x:c>
      <x:c r="D26" s="14" t="n">
        <x:v>0</x:v>
      </x:c>
      <x:c r="E26" s="14" t="n">
        <x:v>1</x:v>
      </x:c>
      <x:c r="F26" s="14" t="n">
        <x:v>1</x:v>
      </x:c>
      <x:c r="G26" s="14" t="n">
        <x:v>0</x:v>
      </x:c>
      <x:c r="H26" s="14" t="n">
        <x:f>IF(((1-B26)*C26*E26+B26*(1-C26)+B26*C26*(1-G26))&gt;0,1,0)</x:f>
        <x:v>0</x:v>
      </x:c>
      <x:c r="I26" s="14" t="n">
        <x:f>IF(((1-B26)*(1-C26)*D26+(1-B26)*C26*(1-E26)+B26*(1-C26)*F26+B26*C26*(1-G26))&gt;0,1,0)</x:f>
        <x:v>0</x:v>
      </x:c>
      <x:c r="J26" s="14" t="n">
        <x:f>(1-B26)*C26</x:f>
        <x:v>0</x:v>
      </x:c>
      <x:c r="K26" s="14" t="n">
        <x:f>B26*(1-C26)</x:f>
        <x:v>0</x:v>
      </x:c>
      <x:c r="L26" s="14" t="n">
        <x:f>B26*C26</x:f>
        <x:v>0</x:v>
      </x:c>
    </x:row>
    <x:row r="27" ht="23" customHeight="1">
      <x:c r="A27" s="9" t="str">
        <x:v>P0</x:v>
      </x:c>
      <x:c r="B27" s="15" t="n">
        <x:v>0</x:v>
      </x:c>
      <x:c r="C27" s="15" t="n">
        <x:v>0</x:v>
      </x:c>
      <x:c r="D27" s="15" t="n">
        <x:v>0</x:v>
      </x:c>
      <x:c r="E27" s="15" t="n">
        <x:v>1</x:v>
      </x:c>
      <x:c r="F27" s="15" t="n">
        <x:v>1</x:v>
      </x:c>
      <x:c r="G27" s="15" t="n">
        <x:v>1</x:v>
      </x:c>
      <x:c r="H27" s="15" t="n">
        <x:f>IF(((1-B27)*C27*E27+B27*(1-C27)+B27*C27*(1-G27))&gt;0,1,0)</x:f>
        <x:v>0</x:v>
      </x:c>
      <x:c r="I27" s="15" t="n">
        <x:f>IF(((1-B27)*(1-C27)*D27+(1-B27)*C27*(1-E27)+B27*(1-C27)*F27+B27*C27*(1-G27))&gt;0,1,0)</x:f>
        <x:v>0</x:v>
      </x:c>
      <x:c r="J27" s="15" t="n">
        <x:f>(1-B27)*C27</x:f>
        <x:v>0</x:v>
      </x:c>
      <x:c r="K27" s="15" t="n">
        <x:f>B27*(1-C27)</x:f>
        <x:v>0</x:v>
      </x:c>
      <x:c r="L27" s="15" t="n">
        <x:f>B27*C27</x:f>
        <x:v>0</x:v>
      </x:c>
    </x:row>
    <x:row r="28" ht="23" customHeight="1">
      <x:c r="A28" s="2" t="str">
        <x:v>P0</x:v>
      </x:c>
      <x:c r="B28" s="14" t="n">
        <x:v>0</x:v>
      </x:c>
      <x:c r="C28" s="14" t="n">
        <x:v>0</x:v>
      </x:c>
      <x:c r="D28" s="14" t="n">
        <x:v>1</x:v>
      </x:c>
      <x:c r="E28" s="14" t="n">
        <x:v>0</x:v>
      </x:c>
      <x:c r="F28" s="14" t="n">
        <x:v>0</x:v>
      </x:c>
      <x:c r="G28" s="14" t="n">
        <x:v>0</x:v>
      </x:c>
      <x:c r="H28" s="14" t="n">
        <x:f>IF(((1-B28)*C28*E28+B28*(1-C28)+B28*C28*(1-G28))&gt;0,1,0)</x:f>
        <x:v>0</x:v>
      </x:c>
      <x:c r="I28" s="14" t="n">
        <x:f>IF(((1-B28)*(1-C28)*D28+(1-B28)*C28*(1-E28)+B28*(1-C28)*F28+B28*C28*(1-G28))&gt;0,1,0)</x:f>
        <x:v>1</x:v>
      </x:c>
      <x:c r="J28" s="14" t="n">
        <x:f>(1-B28)*C28</x:f>
        <x:v>0</x:v>
      </x:c>
      <x:c r="K28" s="14" t="n">
        <x:f>B28*(1-C28)</x:f>
        <x:v>0</x:v>
      </x:c>
      <x:c r="L28" s="14" t="n">
        <x:f>B28*C28</x:f>
        <x:v>0</x:v>
      </x:c>
    </x:row>
    <x:row r="29" ht="23" customHeight="1">
      <x:c r="A29" s="9" t="str">
        <x:v>P0</x:v>
      </x:c>
      <x:c r="B29" s="15" t="n">
        <x:v>0</x:v>
      </x:c>
      <x:c r="C29" s="15" t="n">
        <x:v>0</x:v>
      </x:c>
      <x:c r="D29" s="15" t="n">
        <x:v>1</x:v>
      </x:c>
      <x:c r="E29" s="15" t="n">
        <x:v>0</x:v>
      </x:c>
      <x:c r="F29" s="15" t="n">
        <x:v>0</x:v>
      </x:c>
      <x:c r="G29" s="15" t="n">
        <x:v>1</x:v>
      </x:c>
      <x:c r="H29" s="15" t="n">
        <x:f>IF(((1-B29)*C29*E29+B29*(1-C29)+B29*C29*(1-G29))&gt;0,1,0)</x:f>
        <x:v>0</x:v>
      </x:c>
      <x:c r="I29" s="15" t="n">
        <x:f>IF(((1-B29)*(1-C29)*D29+(1-B29)*C29*(1-E29)+B29*(1-C29)*F29+B29*C29*(1-G29))&gt;0,1,0)</x:f>
        <x:v>1</x:v>
      </x:c>
      <x:c r="J29" s="15" t="n">
        <x:f>(1-B29)*C29</x:f>
        <x:v>0</x:v>
      </x:c>
      <x:c r="K29" s="15" t="n">
        <x:f>B29*(1-C29)</x:f>
        <x:v>0</x:v>
      </x:c>
      <x:c r="L29" s="15" t="n">
        <x:f>B29*C29</x:f>
        <x:v>0</x:v>
      </x:c>
    </x:row>
    <x:row r="30" ht="23" customHeight="1">
      <x:c r="A30" s="2" t="str">
        <x:v>P0</x:v>
      </x:c>
      <x:c r="B30" s="14" t="n">
        <x:v>0</x:v>
      </x:c>
      <x:c r="C30" s="14" t="n">
        <x:v>0</x:v>
      </x:c>
      <x:c r="D30" s="14" t="n">
        <x:v>1</x:v>
      </x:c>
      <x:c r="E30" s="14" t="n">
        <x:v>0</x:v>
      </x:c>
      <x:c r="F30" s="14" t="n">
        <x:v>1</x:v>
      </x:c>
      <x:c r="G30" s="14" t="n">
        <x:v>0</x:v>
      </x:c>
      <x:c r="H30" s="14" t="n">
        <x:f>IF(((1-B30)*C30*E30+B30*(1-C30)+B30*C30*(1-G30))&gt;0,1,0)</x:f>
        <x:v>0</x:v>
      </x:c>
      <x:c r="I30" s="14" t="n">
        <x:f>IF(((1-B30)*(1-C30)*D30+(1-B30)*C30*(1-E30)+B30*(1-C30)*F30+B30*C30*(1-G30))&gt;0,1,0)</x:f>
        <x:v>1</x:v>
      </x:c>
      <x:c r="J30" s="14" t="n">
        <x:f>(1-B30)*C30</x:f>
        <x:v>0</x:v>
      </x:c>
      <x:c r="K30" s="14" t="n">
        <x:f>B30*(1-C30)</x:f>
        <x:v>0</x:v>
      </x:c>
      <x:c r="L30" s="14" t="n">
        <x:f>B30*C30</x:f>
        <x:v>0</x:v>
      </x:c>
    </x:row>
    <x:row r="31" ht="23" customHeight="1">
      <x:c r="A31" s="9" t="str">
        <x:v>P0</x:v>
      </x:c>
      <x:c r="B31" s="15" t="n">
        <x:v>0</x:v>
      </x:c>
      <x:c r="C31" s="15" t="n">
        <x:v>0</x:v>
      </x:c>
      <x:c r="D31" s="15" t="n">
        <x:v>1</x:v>
      </x:c>
      <x:c r="E31" s="15" t="n">
        <x:v>0</x:v>
      </x:c>
      <x:c r="F31" s="15" t="n">
        <x:v>1</x:v>
      </x:c>
      <x:c r="G31" s="15" t="n">
        <x:v>1</x:v>
      </x:c>
      <x:c r="H31" s="15" t="n">
        <x:f>IF(((1-B31)*C31*E31+B31*(1-C31)+B31*C31*(1-G31))&gt;0,1,0)</x:f>
        <x:v>0</x:v>
      </x:c>
      <x:c r="I31" s="15" t="n">
        <x:f>IF(((1-B31)*(1-C31)*D31+(1-B31)*C31*(1-E31)+B31*(1-C31)*F31+B31*C31*(1-G31))&gt;0,1,0)</x:f>
        <x:v>1</x:v>
      </x:c>
      <x:c r="J31" s="15" t="n">
        <x:f>(1-B31)*C31</x:f>
        <x:v>0</x:v>
      </x:c>
      <x:c r="K31" s="15" t="n">
        <x:f>B31*(1-C31)</x:f>
        <x:v>0</x:v>
      </x:c>
      <x:c r="L31" s="15" t="n">
        <x:f>B31*C31</x:f>
        <x:v>0</x:v>
      </x:c>
    </x:row>
    <x:row r="32" ht="23" customHeight="1">
      <x:c r="A32" s="2" t="str">
        <x:v>P0</x:v>
      </x:c>
      <x:c r="B32" s="14" t="n">
        <x:v>0</x:v>
      </x:c>
      <x:c r="C32" s="14" t="n">
        <x:v>0</x:v>
      </x:c>
      <x:c r="D32" s="14" t="n">
        <x:v>1</x:v>
      </x:c>
      <x:c r="E32" s="14" t="n">
        <x:v>1</x:v>
      </x:c>
      <x:c r="F32" s="14" t="n">
        <x:v>0</x:v>
      </x:c>
      <x:c r="G32" s="14" t="n">
        <x:v>0</x:v>
      </x:c>
      <x:c r="H32" s="14" t="n">
        <x:f>IF(((1-B32)*C32*E32+B32*(1-C32)+B32*C32*(1-G32))&gt;0,1,0)</x:f>
        <x:v>0</x:v>
      </x:c>
      <x:c r="I32" s="14" t="n">
        <x:f>IF(((1-B32)*(1-C32)*D32+(1-B32)*C32*(1-E32)+B32*(1-C32)*F32+B32*C32*(1-G32))&gt;0,1,0)</x:f>
        <x:v>1</x:v>
      </x:c>
      <x:c r="J32" s="14" t="n">
        <x:f>(1-B32)*C32</x:f>
        <x:v>0</x:v>
      </x:c>
      <x:c r="K32" s="14" t="n">
        <x:f>B32*(1-C32)</x:f>
        <x:v>0</x:v>
      </x:c>
      <x:c r="L32" s="14" t="n">
        <x:f>B32*C32</x:f>
        <x:v>0</x:v>
      </x:c>
    </x:row>
    <x:row r="33" ht="23" customHeight="1">
      <x:c r="A33" s="9" t="str">
        <x:v>P0</x:v>
      </x:c>
      <x:c r="B33" s="15" t="n">
        <x:v>0</x:v>
      </x:c>
      <x:c r="C33" s="15" t="n">
        <x:v>0</x:v>
      </x:c>
      <x:c r="D33" s="15" t="n">
        <x:v>1</x:v>
      </x:c>
      <x:c r="E33" s="15" t="n">
        <x:v>1</x:v>
      </x:c>
      <x:c r="F33" s="15" t="n">
        <x:v>0</x:v>
      </x:c>
      <x:c r="G33" s="15" t="n">
        <x:v>1</x:v>
      </x:c>
      <x:c r="H33" s="15" t="n">
        <x:f>IF(((1-B33)*C33*E33+B33*(1-C33)+B33*C33*(1-G33))&gt;0,1,0)</x:f>
        <x:v>0</x:v>
      </x:c>
      <x:c r="I33" s="15" t="n">
        <x:f>IF(((1-B33)*(1-C33)*D33+(1-B33)*C33*(1-E33)+B33*(1-C33)*F33+B33*C33*(1-G33))&gt;0,1,0)</x:f>
        <x:v>1</x:v>
      </x:c>
      <x:c r="J33" s="15" t="n">
        <x:f>(1-B33)*C33</x:f>
        <x:v>0</x:v>
      </x:c>
      <x:c r="K33" s="15" t="n">
        <x:f>B33*(1-C33)</x:f>
        <x:v>0</x:v>
      </x:c>
      <x:c r="L33" s="15" t="n">
        <x:f>B33*C33</x:f>
        <x:v>0</x:v>
      </x:c>
    </x:row>
    <x:row r="34" ht="23" customHeight="1">
      <x:c r="A34" s="2" t="str">
        <x:v>P0</x:v>
      </x:c>
      <x:c r="B34" s="14" t="n">
        <x:v>0</x:v>
      </x:c>
      <x:c r="C34" s="14" t="n">
        <x:v>0</x:v>
      </x:c>
      <x:c r="D34" s="14" t="n">
        <x:v>1</x:v>
      </x:c>
      <x:c r="E34" s="14" t="n">
        <x:v>1</x:v>
      </x:c>
      <x:c r="F34" s="14" t="n">
        <x:v>1</x:v>
      </x:c>
      <x:c r="G34" s="14" t="n">
        <x:v>0</x:v>
      </x:c>
      <x:c r="H34" s="14" t="n">
        <x:f>IF(((1-B34)*C34*E34+B34*(1-C34)+B34*C34*(1-G34))&gt;0,1,0)</x:f>
        <x:v>0</x:v>
      </x:c>
      <x:c r="I34" s="14" t="n">
        <x:f>IF(((1-B34)*(1-C34)*D34+(1-B34)*C34*(1-E34)+B34*(1-C34)*F34+B34*C34*(1-G34))&gt;0,1,0)</x:f>
        <x:v>1</x:v>
      </x:c>
      <x:c r="J34" s="14" t="n">
        <x:f>(1-B34)*C34</x:f>
        <x:v>0</x:v>
      </x:c>
      <x:c r="K34" s="14" t="n">
        <x:f>B34*(1-C34)</x:f>
        <x:v>0</x:v>
      </x:c>
      <x:c r="L34" s="14" t="n">
        <x:f>B34*C34</x:f>
        <x:v>0</x:v>
      </x:c>
    </x:row>
    <x:row r="35" ht="23" customHeight="1">
      <x:c r="A35" s="9" t="str">
        <x:v>P0</x:v>
      </x:c>
      <x:c r="B35" s="15" t="n">
        <x:v>0</x:v>
      </x:c>
      <x:c r="C35" s="15" t="n">
        <x:v>0</x:v>
      </x:c>
      <x:c r="D35" s="15" t="n">
        <x:v>1</x:v>
      </x:c>
      <x:c r="E35" s="15" t="n">
        <x:v>1</x:v>
      </x:c>
      <x:c r="F35" s="15" t="n">
        <x:v>1</x:v>
      </x:c>
      <x:c r="G35" s="15" t="n">
        <x:v>1</x:v>
      </x:c>
      <x:c r="H35" s="15" t="n">
        <x:f>IF(((1-B35)*C35*E35+B35*(1-C35)+B35*C35*(1-G35))&gt;0,1,0)</x:f>
        <x:v>0</x:v>
      </x:c>
      <x:c r="I35" s="15" t="n">
        <x:f>IF(((1-B35)*(1-C35)*D35+(1-B35)*C35*(1-E35)+B35*(1-C35)*F35+B35*C35*(1-G35))&gt;0,1,0)</x:f>
        <x:v>1</x:v>
      </x:c>
      <x:c r="J35" s="15" t="n">
        <x:f>(1-B35)*C35</x:f>
        <x:v>0</x:v>
      </x:c>
      <x:c r="K35" s="15" t="n">
        <x:f>B35*(1-C35)</x:f>
        <x:v>0</x:v>
      </x:c>
      <x:c r="L35" s="15" t="n">
        <x:f>B35*C35</x:f>
        <x:v>0</x:v>
      </x:c>
    </x:row>
    <x:row r="36" ht="23" customHeight="1">
      <x:c r="A36" s="2" t="str">
        <x:v>P1</x:v>
      </x:c>
      <x:c r="B36" s="14" t="n">
        <x:v>0</x:v>
      </x:c>
      <x:c r="C36" s="14" t="n">
        <x:v>1</x:v>
      </x:c>
      <x:c r="D36" s="14" t="n">
        <x:v>0</x:v>
      </x:c>
      <x:c r="E36" s="14" t="n">
        <x:v>0</x:v>
      </x:c>
      <x:c r="F36" s="14" t="n">
        <x:v>0</x:v>
      </x:c>
      <x:c r="G36" s="14" t="n">
        <x:v>0</x:v>
      </x:c>
      <x:c r="H36" s="14" t="n">
        <x:f>IF(((1-B36)*C36*E36+B36*(1-C36)+B36*C36*(1-G36))&gt;0,1,0)</x:f>
        <x:v>0</x:v>
      </x:c>
      <x:c r="I36" s="14" t="n">
        <x:f>IF(((1-B36)*(1-C36)*D36+(1-B36)*C36*(1-E36)+B36*(1-C36)*F36+B36*C36*(1-G36))&gt;0,1,0)</x:f>
        <x:v>1</x:v>
      </x:c>
      <x:c r="J36" s="14" t="n">
        <x:f>(1-B36)*C36</x:f>
        <x:v>1</x:v>
      </x:c>
      <x:c r="K36" s="14" t="n">
        <x:f>B36*(1-C36)</x:f>
        <x:v>0</x:v>
      </x:c>
      <x:c r="L36" s="14" t="n">
        <x:f>B36*C36</x:f>
        <x:v>0</x:v>
      </x:c>
    </x:row>
    <x:row r="37" ht="23" customHeight="1">
      <x:c r="A37" s="9" t="str">
        <x:v>P1</x:v>
      </x:c>
      <x:c r="B37" s="15" t="n">
        <x:v>0</x:v>
      </x:c>
      <x:c r="C37" s="15" t="n">
        <x:v>1</x:v>
      </x:c>
      <x:c r="D37" s="15" t="n">
        <x:v>0</x:v>
      </x:c>
      <x:c r="E37" s="15" t="n">
        <x:v>0</x:v>
      </x:c>
      <x:c r="F37" s="15" t="n">
        <x:v>0</x:v>
      </x:c>
      <x:c r="G37" s="15" t="n">
        <x:v>1</x:v>
      </x:c>
      <x:c r="H37" s="15" t="n">
        <x:f>IF(((1-B37)*C37*E37+B37*(1-C37)+B37*C37*(1-G37))&gt;0,1,0)</x:f>
        <x:v>0</x:v>
      </x:c>
      <x:c r="I37" s="15" t="n">
        <x:f>IF(((1-B37)*(1-C37)*D37+(1-B37)*C37*(1-E37)+B37*(1-C37)*F37+B37*C37*(1-G37))&gt;0,1,0)</x:f>
        <x:v>1</x:v>
      </x:c>
      <x:c r="J37" s="15" t="n">
        <x:f>(1-B37)*C37</x:f>
        <x:v>1</x:v>
      </x:c>
      <x:c r="K37" s="15" t="n">
        <x:f>B37*(1-C37)</x:f>
        <x:v>0</x:v>
      </x:c>
      <x:c r="L37" s="15" t="n">
        <x:f>B37*C37</x:f>
        <x:v>0</x:v>
      </x:c>
    </x:row>
    <x:row r="38" ht="23" customHeight="1">
      <x:c r="A38" s="2" t="str">
        <x:v>P1</x:v>
      </x:c>
      <x:c r="B38" s="14" t="n">
        <x:v>0</x:v>
      </x:c>
      <x:c r="C38" s="14" t="n">
        <x:v>1</x:v>
      </x:c>
      <x:c r="D38" s="14" t="n">
        <x:v>0</x:v>
      </x:c>
      <x:c r="E38" s="14" t="n">
        <x:v>0</x:v>
      </x:c>
      <x:c r="F38" s="14" t="n">
        <x:v>1</x:v>
      </x:c>
      <x:c r="G38" s="14" t="n">
        <x:v>0</x:v>
      </x:c>
      <x:c r="H38" s="14" t="n">
        <x:f>IF(((1-B38)*C38*E38+B38*(1-C38)+B38*C38*(1-G38))&gt;0,1,0)</x:f>
        <x:v>0</x:v>
      </x:c>
      <x:c r="I38" s="14" t="n">
        <x:f>IF(((1-B38)*(1-C38)*D38+(1-B38)*C38*(1-E38)+B38*(1-C38)*F38+B38*C38*(1-G38))&gt;0,1,0)</x:f>
        <x:v>1</x:v>
      </x:c>
      <x:c r="J38" s="14" t="n">
        <x:f>(1-B38)*C38</x:f>
        <x:v>1</x:v>
      </x:c>
      <x:c r="K38" s="14" t="n">
        <x:f>B38*(1-C38)</x:f>
        <x:v>0</x:v>
      </x:c>
      <x:c r="L38" s="14" t="n">
        <x:f>B38*C38</x:f>
        <x:v>0</x:v>
      </x:c>
    </x:row>
    <x:row r="39" ht="23" customHeight="1">
      <x:c r="A39" s="9" t="str">
        <x:v>P1</x:v>
      </x:c>
      <x:c r="B39" s="15" t="n">
        <x:v>0</x:v>
      </x:c>
      <x:c r="C39" s="15" t="n">
        <x:v>1</x:v>
      </x:c>
      <x:c r="D39" s="15" t="n">
        <x:v>0</x:v>
      </x:c>
      <x:c r="E39" s="15" t="n">
        <x:v>0</x:v>
      </x:c>
      <x:c r="F39" s="15" t="n">
        <x:v>1</x:v>
      </x:c>
      <x:c r="G39" s="15" t="n">
        <x:v>1</x:v>
      </x:c>
      <x:c r="H39" s="15" t="n">
        <x:f>IF(((1-B39)*C39*E39+B39*(1-C39)+B39*C39*(1-G39))&gt;0,1,0)</x:f>
        <x:v>0</x:v>
      </x:c>
      <x:c r="I39" s="15" t="n">
        <x:f>IF(((1-B39)*(1-C39)*D39+(1-B39)*C39*(1-E39)+B39*(1-C39)*F39+B39*C39*(1-G39))&gt;0,1,0)</x:f>
        <x:v>1</x:v>
      </x:c>
      <x:c r="J39" s="15" t="n">
        <x:f>(1-B39)*C39</x:f>
        <x:v>1</x:v>
      </x:c>
      <x:c r="K39" s="15" t="n">
        <x:f>B39*(1-C39)</x:f>
        <x:v>0</x:v>
      </x:c>
      <x:c r="L39" s="15" t="n">
        <x:f>B39*C39</x:f>
        <x:v>0</x:v>
      </x:c>
    </x:row>
    <x:row r="40" ht="23" customHeight="1">
      <x:c r="A40" s="2" t="str">
        <x:v>P1</x:v>
      </x:c>
      <x:c r="B40" s="14" t="n">
        <x:v>0</x:v>
      </x:c>
      <x:c r="C40" s="14" t="n">
        <x:v>1</x:v>
      </x:c>
      <x:c r="D40" s="14" t="n">
        <x:v>0</x:v>
      </x:c>
      <x:c r="E40" s="14" t="n">
        <x:v>1</x:v>
      </x:c>
      <x:c r="F40" s="14" t="n">
        <x:v>0</x:v>
      </x:c>
      <x:c r="G40" s="14" t="n">
        <x:v>0</x:v>
      </x:c>
      <x:c r="H40" s="14" t="n">
        <x:f>IF(((1-B40)*C40*E40+B40*(1-C40)+B40*C40*(1-G40))&gt;0,1,0)</x:f>
        <x:v>1</x:v>
      </x:c>
      <x:c r="I40" s="14" t="n">
        <x:f>IF(((1-B40)*(1-C40)*D40+(1-B40)*C40*(1-E40)+B40*(1-C40)*F40+B40*C40*(1-G40))&gt;0,1,0)</x:f>
        <x:v>0</x:v>
      </x:c>
      <x:c r="J40" s="14" t="n">
        <x:f>(1-B40)*C40</x:f>
        <x:v>1</x:v>
      </x:c>
      <x:c r="K40" s="14" t="n">
        <x:f>B40*(1-C40)</x:f>
        <x:v>0</x:v>
      </x:c>
      <x:c r="L40" s="14" t="n">
        <x:f>B40*C40</x:f>
        <x:v>0</x:v>
      </x:c>
    </x:row>
    <x:row r="41" ht="23" customHeight="1">
      <x:c r="A41" s="9" t="str">
        <x:v>P1</x:v>
      </x:c>
      <x:c r="B41" s="15" t="n">
        <x:v>0</x:v>
      </x:c>
      <x:c r="C41" s="15" t="n">
        <x:v>1</x:v>
      </x:c>
      <x:c r="D41" s="15" t="n">
        <x:v>0</x:v>
      </x:c>
      <x:c r="E41" s="15" t="n">
        <x:v>1</x:v>
      </x:c>
      <x:c r="F41" s="15" t="n">
        <x:v>0</x:v>
      </x:c>
      <x:c r="G41" s="15" t="n">
        <x:v>1</x:v>
      </x:c>
      <x:c r="H41" s="15" t="n">
        <x:f>IF(((1-B41)*C41*E41+B41*(1-C41)+B41*C41*(1-G41))&gt;0,1,0)</x:f>
        <x:v>1</x:v>
      </x:c>
      <x:c r="I41" s="15" t="n">
        <x:f>IF(((1-B41)*(1-C41)*D41+(1-B41)*C41*(1-E41)+B41*(1-C41)*F41+B41*C41*(1-G41))&gt;0,1,0)</x:f>
        <x:v>0</x:v>
      </x:c>
      <x:c r="J41" s="15" t="n">
        <x:f>(1-B41)*C41</x:f>
        <x:v>1</x:v>
      </x:c>
      <x:c r="K41" s="15" t="n">
        <x:f>B41*(1-C41)</x:f>
        <x:v>0</x:v>
      </x:c>
      <x:c r="L41" s="15" t="n">
        <x:f>B41*C41</x:f>
        <x:v>0</x:v>
      </x:c>
    </x:row>
    <x:row r="42" ht="23" customHeight="1">
      <x:c r="A42" s="2" t="str">
        <x:v>P1</x:v>
      </x:c>
      <x:c r="B42" s="14" t="n">
        <x:v>0</x:v>
      </x:c>
      <x:c r="C42" s="14" t="n">
        <x:v>1</x:v>
      </x:c>
      <x:c r="D42" s="14" t="n">
        <x:v>0</x:v>
      </x:c>
      <x:c r="E42" s="14" t="n">
        <x:v>1</x:v>
      </x:c>
      <x:c r="F42" s="14" t="n">
        <x:v>1</x:v>
      </x:c>
      <x:c r="G42" s="14" t="n">
        <x:v>0</x:v>
      </x:c>
      <x:c r="H42" s="14" t="n">
        <x:f>IF(((1-B42)*C42*E42+B42*(1-C42)+B42*C42*(1-G42))&gt;0,1,0)</x:f>
        <x:v>1</x:v>
      </x:c>
      <x:c r="I42" s="14" t="n">
        <x:f>IF(((1-B42)*(1-C42)*D42+(1-B42)*C42*(1-E42)+B42*(1-C42)*F42+B42*C42*(1-G42))&gt;0,1,0)</x:f>
        <x:v>0</x:v>
      </x:c>
      <x:c r="J42" s="14" t="n">
        <x:f>(1-B42)*C42</x:f>
        <x:v>1</x:v>
      </x:c>
      <x:c r="K42" s="14" t="n">
        <x:f>B42*(1-C42)</x:f>
        <x:v>0</x:v>
      </x:c>
      <x:c r="L42" s="14" t="n">
        <x:f>B42*C42</x:f>
        <x:v>0</x:v>
      </x:c>
    </x:row>
    <x:row r="43" ht="23" customHeight="1">
      <x:c r="A43" s="9" t="str">
        <x:v>P1</x:v>
      </x:c>
      <x:c r="B43" s="15" t="n">
        <x:v>0</x:v>
      </x:c>
      <x:c r="C43" s="15" t="n">
        <x:v>1</x:v>
      </x:c>
      <x:c r="D43" s="15" t="n">
        <x:v>0</x:v>
      </x:c>
      <x:c r="E43" s="15" t="n">
        <x:v>1</x:v>
      </x:c>
      <x:c r="F43" s="15" t="n">
        <x:v>1</x:v>
      </x:c>
      <x:c r="G43" s="15" t="n">
        <x:v>1</x:v>
      </x:c>
      <x:c r="H43" s="15" t="n">
        <x:f>IF(((1-B43)*C43*E43+B43*(1-C43)+B43*C43*(1-G43))&gt;0,1,0)</x:f>
        <x:v>1</x:v>
      </x:c>
      <x:c r="I43" s="15" t="n">
        <x:f>IF(((1-B43)*(1-C43)*D43+(1-B43)*C43*(1-E43)+B43*(1-C43)*F43+B43*C43*(1-G43))&gt;0,1,0)</x:f>
        <x:v>0</x:v>
      </x:c>
      <x:c r="J43" s="15" t="n">
        <x:f>(1-B43)*C43</x:f>
        <x:v>1</x:v>
      </x:c>
      <x:c r="K43" s="15" t="n">
        <x:f>B43*(1-C43)</x:f>
        <x:v>0</x:v>
      </x:c>
      <x:c r="L43" s="15" t="n">
        <x:f>B43*C43</x:f>
        <x:v>0</x:v>
      </x:c>
    </x:row>
    <x:row r="44" ht="23" customHeight="1">
      <x:c r="A44" s="2" t="str">
        <x:v>P1</x:v>
      </x:c>
      <x:c r="B44" s="14" t="n">
        <x:v>0</x:v>
      </x:c>
      <x:c r="C44" s="14" t="n">
        <x:v>1</x:v>
      </x:c>
      <x:c r="D44" s="14" t="n">
        <x:v>1</x:v>
      </x:c>
      <x:c r="E44" s="14" t="n">
        <x:v>0</x:v>
      </x:c>
      <x:c r="F44" s="14" t="n">
        <x:v>0</x:v>
      </x:c>
      <x:c r="G44" s="14" t="n">
        <x:v>0</x:v>
      </x:c>
      <x:c r="H44" s="14" t="n">
        <x:f>IF(((1-B44)*C44*E44+B44*(1-C44)+B44*C44*(1-G44))&gt;0,1,0)</x:f>
        <x:v>0</x:v>
      </x:c>
      <x:c r="I44" s="14" t="n">
        <x:f>IF(((1-B44)*(1-C44)*D44+(1-B44)*C44*(1-E44)+B44*(1-C44)*F44+B44*C44*(1-G44))&gt;0,1,0)</x:f>
        <x:v>1</x:v>
      </x:c>
      <x:c r="J44" s="14" t="n">
        <x:f>(1-B44)*C44</x:f>
        <x:v>1</x:v>
      </x:c>
      <x:c r="K44" s="14" t="n">
        <x:f>B44*(1-C44)</x:f>
        <x:v>0</x:v>
      </x:c>
      <x:c r="L44" s="14" t="n">
        <x:f>B44*C44</x:f>
        <x:v>0</x:v>
      </x:c>
    </x:row>
    <x:row r="45" ht="23" customHeight="1">
      <x:c r="A45" s="9" t="str">
        <x:v>P1</x:v>
      </x:c>
      <x:c r="B45" s="15" t="n">
        <x:v>0</x:v>
      </x:c>
      <x:c r="C45" s="15" t="n">
        <x:v>1</x:v>
      </x:c>
      <x:c r="D45" s="15" t="n">
        <x:v>1</x:v>
      </x:c>
      <x:c r="E45" s="15" t="n">
        <x:v>0</x:v>
      </x:c>
      <x:c r="F45" s="15" t="n">
        <x:v>0</x:v>
      </x:c>
      <x:c r="G45" s="15" t="n">
        <x:v>1</x:v>
      </x:c>
      <x:c r="H45" s="15" t="n">
        <x:f>IF(((1-B45)*C45*E45+B45*(1-C45)+B45*C45*(1-G45))&gt;0,1,0)</x:f>
        <x:v>0</x:v>
      </x:c>
      <x:c r="I45" s="15" t="n">
        <x:f>IF(((1-B45)*(1-C45)*D45+(1-B45)*C45*(1-E45)+B45*(1-C45)*F45+B45*C45*(1-G45))&gt;0,1,0)</x:f>
        <x:v>1</x:v>
      </x:c>
      <x:c r="J45" s="15" t="n">
        <x:f>(1-B45)*C45</x:f>
        <x:v>1</x:v>
      </x:c>
      <x:c r="K45" s="15" t="n">
        <x:f>B45*(1-C45)</x:f>
        <x:v>0</x:v>
      </x:c>
      <x:c r="L45" s="15" t="n">
        <x:f>B45*C45</x:f>
        <x:v>0</x:v>
      </x:c>
    </x:row>
    <x:row r="46" ht="23" customHeight="1">
      <x:c r="A46" s="2" t="str">
        <x:v>P1</x:v>
      </x:c>
      <x:c r="B46" s="14" t="n">
        <x:v>0</x:v>
      </x:c>
      <x:c r="C46" s="14" t="n">
        <x:v>1</x:v>
      </x:c>
      <x:c r="D46" s="14" t="n">
        <x:v>1</x:v>
      </x:c>
      <x:c r="E46" s="14" t="n">
        <x:v>0</x:v>
      </x:c>
      <x:c r="F46" s="14" t="n">
        <x:v>1</x:v>
      </x:c>
      <x:c r="G46" s="14" t="n">
        <x:v>0</x:v>
      </x:c>
      <x:c r="H46" s="14" t="n">
        <x:f>IF(((1-B46)*C46*E46+B46*(1-C46)+B46*C46*(1-G46))&gt;0,1,0)</x:f>
        <x:v>0</x:v>
      </x:c>
      <x:c r="I46" s="14" t="n">
        <x:f>IF(((1-B46)*(1-C46)*D46+(1-B46)*C46*(1-E46)+B46*(1-C46)*F46+B46*C46*(1-G46))&gt;0,1,0)</x:f>
        <x:v>1</x:v>
      </x:c>
      <x:c r="J46" s="14" t="n">
        <x:f>(1-B46)*C46</x:f>
        <x:v>1</x:v>
      </x:c>
      <x:c r="K46" s="14" t="n">
        <x:f>B46*(1-C46)</x:f>
        <x:v>0</x:v>
      </x:c>
      <x:c r="L46" s="14" t="n">
        <x:f>B46*C46</x:f>
        <x:v>0</x:v>
      </x:c>
    </x:row>
    <x:row r="47" ht="23" customHeight="1">
      <x:c r="A47" s="9" t="str">
        <x:v>P1</x:v>
      </x:c>
      <x:c r="B47" s="15" t="n">
        <x:v>0</x:v>
      </x:c>
      <x:c r="C47" s="15" t="n">
        <x:v>1</x:v>
      </x:c>
      <x:c r="D47" s="15" t="n">
        <x:v>1</x:v>
      </x:c>
      <x:c r="E47" s="15" t="n">
        <x:v>0</x:v>
      </x:c>
      <x:c r="F47" s="15" t="n">
        <x:v>1</x:v>
      </x:c>
      <x:c r="G47" s="15" t="n">
        <x:v>1</x:v>
      </x:c>
      <x:c r="H47" s="15" t="n">
        <x:f>IF(((1-B47)*C47*E47+B47*(1-C47)+B47*C47*(1-G47))&gt;0,1,0)</x:f>
        <x:v>0</x:v>
      </x:c>
      <x:c r="I47" s="15" t="n">
        <x:f>IF(((1-B47)*(1-C47)*D47+(1-B47)*C47*(1-E47)+B47*(1-C47)*F47+B47*C47*(1-G47))&gt;0,1,0)</x:f>
        <x:v>1</x:v>
      </x:c>
      <x:c r="J47" s="15" t="n">
        <x:f>(1-B47)*C47</x:f>
        <x:v>1</x:v>
      </x:c>
      <x:c r="K47" s="15" t="n">
        <x:f>B47*(1-C47)</x:f>
        <x:v>0</x:v>
      </x:c>
      <x:c r="L47" s="15" t="n">
        <x:f>B47*C47</x:f>
        <x:v>0</x:v>
      </x:c>
    </x:row>
    <x:row r="48" ht="23" customHeight="1">
      <x:c r="A48" s="2" t="str">
        <x:v>P1</x:v>
      </x:c>
      <x:c r="B48" s="14" t="n">
        <x:v>0</x:v>
      </x:c>
      <x:c r="C48" s="14" t="n">
        <x:v>1</x:v>
      </x:c>
      <x:c r="D48" s="14" t="n">
        <x:v>1</x:v>
      </x:c>
      <x:c r="E48" s="14" t="n">
        <x:v>1</x:v>
      </x:c>
      <x:c r="F48" s="14" t="n">
        <x:v>0</x:v>
      </x:c>
      <x:c r="G48" s="14" t="n">
        <x:v>0</x:v>
      </x:c>
      <x:c r="H48" s="14" t="n">
        <x:f>IF(((1-B48)*C48*E48+B48*(1-C48)+B48*C48*(1-G48))&gt;0,1,0)</x:f>
        <x:v>1</x:v>
      </x:c>
      <x:c r="I48" s="14" t="n">
        <x:f>IF(((1-B48)*(1-C48)*D48+(1-B48)*C48*(1-E48)+B48*(1-C48)*F48+B48*C48*(1-G48))&gt;0,1,0)</x:f>
        <x:v>0</x:v>
      </x:c>
      <x:c r="J48" s="14" t="n">
        <x:f>(1-B48)*C48</x:f>
        <x:v>1</x:v>
      </x:c>
      <x:c r="K48" s="14" t="n">
        <x:f>B48*(1-C48)</x:f>
        <x:v>0</x:v>
      </x:c>
      <x:c r="L48" s="14" t="n">
        <x:f>B48*C48</x:f>
        <x:v>0</x:v>
      </x:c>
    </x:row>
    <x:row r="49" ht="23" customHeight="1">
      <x:c r="A49" s="9" t="str">
        <x:v>P1</x:v>
      </x:c>
      <x:c r="B49" s="15" t="n">
        <x:v>0</x:v>
      </x:c>
      <x:c r="C49" s="15" t="n">
        <x:v>1</x:v>
      </x:c>
      <x:c r="D49" s="15" t="n">
        <x:v>1</x:v>
      </x:c>
      <x:c r="E49" s="15" t="n">
        <x:v>1</x:v>
      </x:c>
      <x:c r="F49" s="15" t="n">
        <x:v>0</x:v>
      </x:c>
      <x:c r="G49" s="15" t="n">
        <x:v>1</x:v>
      </x:c>
      <x:c r="H49" s="15" t="n">
        <x:f>IF(((1-B49)*C49*E49+B49*(1-C49)+B49*C49*(1-G49))&gt;0,1,0)</x:f>
        <x:v>1</x:v>
      </x:c>
      <x:c r="I49" s="15" t="n">
        <x:f>IF(((1-B49)*(1-C49)*D49+(1-B49)*C49*(1-E49)+B49*(1-C49)*F49+B49*C49*(1-G49))&gt;0,1,0)</x:f>
        <x:v>0</x:v>
      </x:c>
      <x:c r="J49" s="15" t="n">
        <x:f>(1-B49)*C49</x:f>
        <x:v>1</x:v>
      </x:c>
      <x:c r="K49" s="15" t="n">
        <x:f>B49*(1-C49)</x:f>
        <x:v>0</x:v>
      </x:c>
      <x:c r="L49" s="15" t="n">
        <x:f>B49*C49</x:f>
        <x:v>0</x:v>
      </x:c>
    </x:row>
    <x:row r="50" ht="23" customHeight="1">
      <x:c r="A50" s="2" t="str">
        <x:v>P1</x:v>
      </x:c>
      <x:c r="B50" s="14" t="n">
        <x:v>0</x:v>
      </x:c>
      <x:c r="C50" s="14" t="n">
        <x:v>1</x:v>
      </x:c>
      <x:c r="D50" s="14" t="n">
        <x:v>1</x:v>
      </x:c>
      <x:c r="E50" s="14" t="n">
        <x:v>1</x:v>
      </x:c>
      <x:c r="F50" s="14" t="n">
        <x:v>1</x:v>
      </x:c>
      <x:c r="G50" s="14" t="n">
        <x:v>0</x:v>
      </x:c>
      <x:c r="H50" s="14" t="n">
        <x:f>IF(((1-B50)*C50*E50+B50*(1-C50)+B50*C50*(1-G50))&gt;0,1,0)</x:f>
        <x:v>1</x:v>
      </x:c>
      <x:c r="I50" s="14" t="n">
        <x:f>IF(((1-B50)*(1-C50)*D50+(1-B50)*C50*(1-E50)+B50*(1-C50)*F50+B50*C50*(1-G50))&gt;0,1,0)</x:f>
        <x:v>0</x:v>
      </x:c>
      <x:c r="J50" s="14" t="n">
        <x:f>(1-B50)*C50</x:f>
        <x:v>1</x:v>
      </x:c>
      <x:c r="K50" s="14" t="n">
        <x:f>B50*(1-C50)</x:f>
        <x:v>0</x:v>
      </x:c>
      <x:c r="L50" s="14" t="n">
        <x:f>B50*C50</x:f>
        <x:v>0</x:v>
      </x:c>
    </x:row>
    <x:row r="51" ht="23" customHeight="1">
      <x:c r="A51" s="9" t="str">
        <x:v>P1</x:v>
      </x:c>
      <x:c r="B51" s="15" t="n">
        <x:v>0</x:v>
      </x:c>
      <x:c r="C51" s="15" t="n">
        <x:v>1</x:v>
      </x:c>
      <x:c r="D51" s="15" t="n">
        <x:v>1</x:v>
      </x:c>
      <x:c r="E51" s="15" t="n">
        <x:v>1</x:v>
      </x:c>
      <x:c r="F51" s="15" t="n">
        <x:v>1</x:v>
      </x:c>
      <x:c r="G51" s="15" t="n">
        <x:v>1</x:v>
      </x:c>
      <x:c r="H51" s="15" t="n">
        <x:f>IF(((1-B51)*C51*E51+B51*(1-C51)+B51*C51*(1-G51))&gt;0,1,0)</x:f>
        <x:v>1</x:v>
      </x:c>
      <x:c r="I51" s="15" t="n">
        <x:f>IF(((1-B51)*(1-C51)*D51+(1-B51)*C51*(1-E51)+B51*(1-C51)*F51+B51*C51*(1-G51))&gt;0,1,0)</x:f>
        <x:v>0</x:v>
      </x:c>
      <x:c r="J51" s="15" t="n">
        <x:f>(1-B51)*C51</x:f>
        <x:v>1</x:v>
      </x:c>
      <x:c r="K51" s="15" t="n">
        <x:f>B51*(1-C51)</x:f>
        <x:v>0</x:v>
      </x:c>
      <x:c r="L51" s="15" t="n">
        <x:f>B51*C51</x:f>
        <x:v>0</x:v>
      </x:c>
    </x:row>
    <x:row r="52" ht="23" customHeight="1">
      <x:c r="A52" s="2" t="str">
        <x:v>P2</x:v>
      </x:c>
      <x:c r="B52" s="14" t="n">
        <x:v>1</x:v>
      </x:c>
      <x:c r="C52" s="14" t="n">
        <x:v>0</x:v>
      </x:c>
      <x:c r="D52" s="14" t="n">
        <x:v>0</x:v>
      </x:c>
      <x:c r="E52" s="14" t="n">
        <x:v>0</x:v>
      </x:c>
      <x:c r="F52" s="14" t="n">
        <x:v>0</x:v>
      </x:c>
      <x:c r="G52" s="14" t="n">
        <x:v>0</x:v>
      </x:c>
      <x:c r="H52" s="14" t="n">
        <x:f>IF(((1-B52)*C52*E52+B52*(1-C52)+B52*C52*(1-G52))&gt;0,1,0)</x:f>
        <x:v>1</x:v>
      </x:c>
      <x:c r="I52" s="14" t="n">
        <x:f>IF(((1-B52)*(1-C52)*D52+(1-B52)*C52*(1-E52)+B52*(1-C52)*F52+B52*C52*(1-G52))&gt;0,1,0)</x:f>
        <x:v>0</x:v>
      </x:c>
      <x:c r="J52" s="14" t="n">
        <x:f>(1-B52)*C52</x:f>
        <x:v>0</x:v>
      </x:c>
      <x:c r="K52" s="14" t="n">
        <x:f>B52*(1-C52)</x:f>
        <x:v>1</x:v>
      </x:c>
      <x:c r="L52" s="14" t="n">
        <x:f>B52*C52</x:f>
        <x:v>0</x:v>
      </x:c>
    </x:row>
    <x:row r="53" ht="23" customHeight="1">
      <x:c r="A53" s="9" t="str">
        <x:v>P2</x:v>
      </x:c>
      <x:c r="B53" s="15" t="n">
        <x:v>1</x:v>
      </x:c>
      <x:c r="C53" s="15" t="n">
        <x:v>0</x:v>
      </x:c>
      <x:c r="D53" s="15" t="n">
        <x:v>0</x:v>
      </x:c>
      <x:c r="E53" s="15" t="n">
        <x:v>0</x:v>
      </x:c>
      <x:c r="F53" s="15" t="n">
        <x:v>0</x:v>
      </x:c>
      <x:c r="G53" s="15" t="n">
        <x:v>1</x:v>
      </x:c>
      <x:c r="H53" s="15" t="n">
        <x:f>IF(((1-B53)*C53*E53+B53*(1-C53)+B53*C53*(1-G53))&gt;0,1,0)</x:f>
        <x:v>1</x:v>
      </x:c>
      <x:c r="I53" s="15" t="n">
        <x:f>IF(((1-B53)*(1-C53)*D53+(1-B53)*C53*(1-E53)+B53*(1-C53)*F53+B53*C53*(1-G53))&gt;0,1,0)</x:f>
        <x:v>0</x:v>
      </x:c>
      <x:c r="J53" s="15" t="n">
        <x:f>(1-B53)*C53</x:f>
        <x:v>0</x:v>
      </x:c>
      <x:c r="K53" s="15" t="n">
        <x:f>B53*(1-C53)</x:f>
        <x:v>1</x:v>
      </x:c>
      <x:c r="L53" s="15" t="n">
        <x:f>B53*C53</x:f>
        <x:v>0</x:v>
      </x:c>
    </x:row>
    <x:row r="54" ht="23" customHeight="1">
      <x:c r="A54" s="2" t="str">
        <x:v>P2</x:v>
      </x:c>
      <x:c r="B54" s="14" t="n">
        <x:v>1</x:v>
      </x:c>
      <x:c r="C54" s="14" t="n">
        <x:v>0</x:v>
      </x:c>
      <x:c r="D54" s="14" t="n">
        <x:v>0</x:v>
      </x:c>
      <x:c r="E54" s="14" t="n">
        <x:v>0</x:v>
      </x:c>
      <x:c r="F54" s="14" t="n">
        <x:v>1</x:v>
      </x:c>
      <x:c r="G54" s="14" t="n">
        <x:v>0</x:v>
      </x:c>
      <x:c r="H54" s="14" t="n">
        <x:f>IF(((1-B54)*C54*E54+B54*(1-C54)+B54*C54*(1-G54))&gt;0,1,0)</x:f>
        <x:v>1</x:v>
      </x:c>
      <x:c r="I54" s="14" t="n">
        <x:f>IF(((1-B54)*(1-C54)*D54+(1-B54)*C54*(1-E54)+B54*(1-C54)*F54+B54*C54*(1-G54))&gt;0,1,0)</x:f>
        <x:v>1</x:v>
      </x:c>
      <x:c r="J54" s="14" t="n">
        <x:f>(1-B54)*C54</x:f>
        <x:v>0</x:v>
      </x:c>
      <x:c r="K54" s="14" t="n">
        <x:f>B54*(1-C54)</x:f>
        <x:v>1</x:v>
      </x:c>
      <x:c r="L54" s="14" t="n">
        <x:f>B54*C54</x:f>
        <x:v>0</x:v>
      </x:c>
    </x:row>
    <x:row r="55" ht="23" customHeight="1">
      <x:c r="A55" s="9" t="str">
        <x:v>P2</x:v>
      </x:c>
      <x:c r="B55" s="15" t="n">
        <x:v>1</x:v>
      </x:c>
      <x:c r="C55" s="15" t="n">
        <x:v>0</x:v>
      </x:c>
      <x:c r="D55" s="15" t="n">
        <x:v>0</x:v>
      </x:c>
      <x:c r="E55" s="15" t="n">
        <x:v>0</x:v>
      </x:c>
      <x:c r="F55" s="15" t="n">
        <x:v>1</x:v>
      </x:c>
      <x:c r="G55" s="15" t="n">
        <x:v>1</x:v>
      </x:c>
      <x:c r="H55" s="15" t="n">
        <x:f>IF(((1-B55)*C55*E55+B55*(1-C55)+B55*C55*(1-G55))&gt;0,1,0)</x:f>
        <x:v>1</x:v>
      </x:c>
      <x:c r="I55" s="15" t="n">
        <x:f>IF(((1-B55)*(1-C55)*D55+(1-B55)*C55*(1-E55)+B55*(1-C55)*F55+B55*C55*(1-G55))&gt;0,1,0)</x:f>
        <x:v>1</x:v>
      </x:c>
      <x:c r="J55" s="15" t="n">
        <x:f>(1-B55)*C55</x:f>
        <x:v>0</x:v>
      </x:c>
      <x:c r="K55" s="15" t="n">
        <x:f>B55*(1-C55)</x:f>
        <x:v>1</x:v>
      </x:c>
      <x:c r="L55" s="15" t="n">
        <x:f>B55*C55</x:f>
        <x:v>0</x:v>
      </x:c>
    </x:row>
    <x:row r="56" ht="23" customHeight="1">
      <x:c r="A56" s="2" t="str">
        <x:v>P2</x:v>
      </x:c>
      <x:c r="B56" s="14" t="n">
        <x:v>1</x:v>
      </x:c>
      <x:c r="C56" s="14" t="n">
        <x:v>0</x:v>
      </x:c>
      <x:c r="D56" s="14" t="n">
        <x:v>0</x:v>
      </x:c>
      <x:c r="E56" s="14" t="n">
        <x:v>1</x:v>
      </x:c>
      <x:c r="F56" s="14" t="n">
        <x:v>0</x:v>
      </x:c>
      <x:c r="G56" s="14" t="n">
        <x:v>0</x:v>
      </x:c>
      <x:c r="H56" s="14" t="n">
        <x:f>IF(((1-B56)*C56*E56+B56*(1-C56)+B56*C56*(1-G56))&gt;0,1,0)</x:f>
        <x:v>1</x:v>
      </x:c>
      <x:c r="I56" s="14" t="n">
        <x:f>IF(((1-B56)*(1-C56)*D56+(1-B56)*C56*(1-E56)+B56*(1-C56)*F56+B56*C56*(1-G56))&gt;0,1,0)</x:f>
        <x:v>0</x:v>
      </x:c>
      <x:c r="J56" s="14" t="n">
        <x:f>(1-B56)*C56</x:f>
        <x:v>0</x:v>
      </x:c>
      <x:c r="K56" s="14" t="n">
        <x:f>B56*(1-C56)</x:f>
        <x:v>1</x:v>
      </x:c>
      <x:c r="L56" s="14" t="n">
        <x:f>B56*C56</x:f>
        <x:v>0</x:v>
      </x:c>
    </x:row>
    <x:row r="57" ht="23" customHeight="1">
      <x:c r="A57" s="9" t="str">
        <x:v>P2</x:v>
      </x:c>
      <x:c r="B57" s="15" t="n">
        <x:v>1</x:v>
      </x:c>
      <x:c r="C57" s="15" t="n">
        <x:v>0</x:v>
      </x:c>
      <x:c r="D57" s="15" t="n">
        <x:v>0</x:v>
      </x:c>
      <x:c r="E57" s="15" t="n">
        <x:v>1</x:v>
      </x:c>
      <x:c r="F57" s="15" t="n">
        <x:v>0</x:v>
      </x:c>
      <x:c r="G57" s="15" t="n">
        <x:v>1</x:v>
      </x:c>
      <x:c r="H57" s="15" t="n">
        <x:f>IF(((1-B57)*C57*E57+B57*(1-C57)+B57*C57*(1-G57))&gt;0,1,0)</x:f>
        <x:v>1</x:v>
      </x:c>
      <x:c r="I57" s="15" t="n">
        <x:f>IF(((1-B57)*(1-C57)*D57+(1-B57)*C57*(1-E57)+B57*(1-C57)*F57+B57*C57*(1-G57))&gt;0,1,0)</x:f>
        <x:v>0</x:v>
      </x:c>
      <x:c r="J57" s="15" t="n">
        <x:f>(1-B57)*C57</x:f>
        <x:v>0</x:v>
      </x:c>
      <x:c r="K57" s="15" t="n">
        <x:f>B57*(1-C57)</x:f>
        <x:v>1</x:v>
      </x:c>
      <x:c r="L57" s="15" t="n">
        <x:f>B57*C57</x:f>
        <x:v>0</x:v>
      </x:c>
    </x:row>
    <x:row r="58" ht="23" customHeight="1">
      <x:c r="A58" s="2" t="str">
        <x:v>P2</x:v>
      </x:c>
      <x:c r="B58" s="14" t="n">
        <x:v>1</x:v>
      </x:c>
      <x:c r="C58" s="14" t="n">
        <x:v>0</x:v>
      </x:c>
      <x:c r="D58" s="14" t="n">
        <x:v>0</x:v>
      </x:c>
      <x:c r="E58" s="14" t="n">
        <x:v>1</x:v>
      </x:c>
      <x:c r="F58" s="14" t="n">
        <x:v>1</x:v>
      </x:c>
      <x:c r="G58" s="14" t="n">
        <x:v>0</x:v>
      </x:c>
      <x:c r="H58" s="14" t="n">
        <x:f>IF(((1-B58)*C58*E58+B58*(1-C58)+B58*C58*(1-G58))&gt;0,1,0)</x:f>
        <x:v>1</x:v>
      </x:c>
      <x:c r="I58" s="14" t="n">
        <x:f>IF(((1-B58)*(1-C58)*D58+(1-B58)*C58*(1-E58)+B58*(1-C58)*F58+B58*C58*(1-G58))&gt;0,1,0)</x:f>
        <x:v>1</x:v>
      </x:c>
      <x:c r="J58" s="14" t="n">
        <x:f>(1-B58)*C58</x:f>
        <x:v>0</x:v>
      </x:c>
      <x:c r="K58" s="14" t="n">
        <x:f>B58*(1-C58)</x:f>
        <x:v>1</x:v>
      </x:c>
      <x:c r="L58" s="14" t="n">
        <x:f>B58*C58</x:f>
        <x:v>0</x:v>
      </x:c>
    </x:row>
    <x:row r="59" ht="23" customHeight="1">
      <x:c r="A59" s="9" t="str">
        <x:v>P2</x:v>
      </x:c>
      <x:c r="B59" s="15" t="n">
        <x:v>1</x:v>
      </x:c>
      <x:c r="C59" s="15" t="n">
        <x:v>0</x:v>
      </x:c>
      <x:c r="D59" s="15" t="n">
        <x:v>0</x:v>
      </x:c>
      <x:c r="E59" s="15" t="n">
        <x:v>1</x:v>
      </x:c>
      <x:c r="F59" s="15" t="n">
        <x:v>1</x:v>
      </x:c>
      <x:c r="G59" s="15" t="n">
        <x:v>1</x:v>
      </x:c>
      <x:c r="H59" s="15" t="n">
        <x:f>IF(((1-B59)*C59*E59+B59*(1-C59)+B59*C59*(1-G59))&gt;0,1,0)</x:f>
        <x:v>1</x:v>
      </x:c>
      <x:c r="I59" s="15" t="n">
        <x:f>IF(((1-B59)*(1-C59)*D59+(1-B59)*C59*(1-E59)+B59*(1-C59)*F59+B59*C59*(1-G59))&gt;0,1,0)</x:f>
        <x:v>1</x:v>
      </x:c>
      <x:c r="J59" s="15" t="n">
        <x:f>(1-B59)*C59</x:f>
        <x:v>0</x:v>
      </x:c>
      <x:c r="K59" s="15" t="n">
        <x:f>B59*(1-C59)</x:f>
        <x:v>1</x:v>
      </x:c>
      <x:c r="L59" s="15" t="n">
        <x:f>B59*C59</x:f>
        <x:v>0</x:v>
      </x:c>
    </x:row>
    <x:row r="60" ht="23" customHeight="1">
      <x:c r="A60" s="2" t="str">
        <x:v>P2</x:v>
      </x:c>
      <x:c r="B60" s="14" t="n">
        <x:v>1</x:v>
      </x:c>
      <x:c r="C60" s="14" t="n">
        <x:v>0</x:v>
      </x:c>
      <x:c r="D60" s="14" t="n">
        <x:v>1</x:v>
      </x:c>
      <x:c r="E60" s="14" t="n">
        <x:v>0</x:v>
      </x:c>
      <x:c r="F60" s="14" t="n">
        <x:v>0</x:v>
      </x:c>
      <x:c r="G60" s="14" t="n">
        <x:v>0</x:v>
      </x:c>
      <x:c r="H60" s="14" t="n">
        <x:f>IF(((1-B60)*C60*E60+B60*(1-C60)+B60*C60*(1-G60))&gt;0,1,0)</x:f>
        <x:v>1</x:v>
      </x:c>
      <x:c r="I60" s="14" t="n">
        <x:f>IF(((1-B60)*(1-C60)*D60+(1-B60)*C60*(1-E60)+B60*(1-C60)*F60+B60*C60*(1-G60))&gt;0,1,0)</x:f>
        <x:v>0</x:v>
      </x:c>
      <x:c r="J60" s="14" t="n">
        <x:f>(1-B60)*C60</x:f>
        <x:v>0</x:v>
      </x:c>
      <x:c r="K60" s="14" t="n">
        <x:f>B60*(1-C60)</x:f>
        <x:v>1</x:v>
      </x:c>
      <x:c r="L60" s="14" t="n">
        <x:f>B60*C60</x:f>
        <x:v>0</x:v>
      </x:c>
    </x:row>
    <x:row r="61" ht="23" customHeight="1">
      <x:c r="A61" s="9" t="str">
        <x:v>P2</x:v>
      </x:c>
      <x:c r="B61" s="15" t="n">
        <x:v>1</x:v>
      </x:c>
      <x:c r="C61" s="15" t="n">
        <x:v>0</x:v>
      </x:c>
      <x:c r="D61" s="15" t="n">
        <x:v>1</x:v>
      </x:c>
      <x:c r="E61" s="15" t="n">
        <x:v>0</x:v>
      </x:c>
      <x:c r="F61" s="15" t="n">
        <x:v>0</x:v>
      </x:c>
      <x:c r="G61" s="15" t="n">
        <x:v>1</x:v>
      </x:c>
      <x:c r="H61" s="15" t="n">
        <x:f>IF(((1-B61)*C61*E61+B61*(1-C61)+B61*C61*(1-G61))&gt;0,1,0)</x:f>
        <x:v>1</x:v>
      </x:c>
      <x:c r="I61" s="15" t="n">
        <x:f>IF(((1-B61)*(1-C61)*D61+(1-B61)*C61*(1-E61)+B61*(1-C61)*F61+B61*C61*(1-G61))&gt;0,1,0)</x:f>
        <x:v>0</x:v>
      </x:c>
      <x:c r="J61" s="15" t="n">
        <x:f>(1-B61)*C61</x:f>
        <x:v>0</x:v>
      </x:c>
      <x:c r="K61" s="15" t="n">
        <x:f>B61*(1-C61)</x:f>
        <x:v>1</x:v>
      </x:c>
      <x:c r="L61" s="15" t="n">
        <x:f>B61*C61</x:f>
        <x:v>0</x:v>
      </x:c>
    </x:row>
    <x:row r="62" ht="23" customHeight="1">
      <x:c r="A62" s="2" t="str">
        <x:v>P2</x:v>
      </x:c>
      <x:c r="B62" s="14" t="n">
        <x:v>1</x:v>
      </x:c>
      <x:c r="C62" s="14" t="n">
        <x:v>0</x:v>
      </x:c>
      <x:c r="D62" s="14" t="n">
        <x:v>1</x:v>
      </x:c>
      <x:c r="E62" s="14" t="n">
        <x:v>0</x:v>
      </x:c>
      <x:c r="F62" s="14" t="n">
        <x:v>1</x:v>
      </x:c>
      <x:c r="G62" s="14" t="n">
        <x:v>0</x:v>
      </x:c>
      <x:c r="H62" s="14" t="n">
        <x:f>IF(((1-B62)*C62*E62+B62*(1-C62)+B62*C62*(1-G62))&gt;0,1,0)</x:f>
        <x:v>1</x:v>
      </x:c>
      <x:c r="I62" s="14" t="n">
        <x:f>IF(((1-B62)*(1-C62)*D62+(1-B62)*C62*(1-E62)+B62*(1-C62)*F62+B62*C62*(1-G62))&gt;0,1,0)</x:f>
        <x:v>1</x:v>
      </x:c>
      <x:c r="J62" s="14" t="n">
        <x:f>(1-B62)*C62</x:f>
        <x:v>0</x:v>
      </x:c>
      <x:c r="K62" s="14" t="n">
        <x:f>B62*(1-C62)</x:f>
        <x:v>1</x:v>
      </x:c>
      <x:c r="L62" s="14" t="n">
        <x:f>B62*C62</x:f>
        <x:v>0</x:v>
      </x:c>
    </x:row>
    <x:row r="63" ht="23" customHeight="1">
      <x:c r="A63" s="9" t="str">
        <x:v>P2</x:v>
      </x:c>
      <x:c r="B63" s="15" t="n">
        <x:v>1</x:v>
      </x:c>
      <x:c r="C63" s="15" t="n">
        <x:v>0</x:v>
      </x:c>
      <x:c r="D63" s="15" t="n">
        <x:v>1</x:v>
      </x:c>
      <x:c r="E63" s="15" t="n">
        <x:v>0</x:v>
      </x:c>
      <x:c r="F63" s="15" t="n">
        <x:v>1</x:v>
      </x:c>
      <x:c r="G63" s="15" t="n">
        <x:v>1</x:v>
      </x:c>
      <x:c r="H63" s="15" t="n">
        <x:f>IF(((1-B63)*C63*E63+B63*(1-C63)+B63*C63*(1-G63))&gt;0,1,0)</x:f>
        <x:v>1</x:v>
      </x:c>
      <x:c r="I63" s="15" t="n">
        <x:f>IF(((1-B63)*(1-C63)*D63+(1-B63)*C63*(1-E63)+B63*(1-C63)*F63+B63*C63*(1-G63))&gt;0,1,0)</x:f>
        <x:v>1</x:v>
      </x:c>
      <x:c r="J63" s="15" t="n">
        <x:f>(1-B63)*C63</x:f>
        <x:v>0</x:v>
      </x:c>
      <x:c r="K63" s="15" t="n">
        <x:f>B63*(1-C63)</x:f>
        <x:v>1</x:v>
      </x:c>
      <x:c r="L63" s="15" t="n">
        <x:f>B63*C63</x:f>
        <x:v>0</x:v>
      </x:c>
    </x:row>
    <x:row r="64" ht="23" customHeight="1">
      <x:c r="A64" s="2" t="str">
        <x:v>P2</x:v>
      </x:c>
      <x:c r="B64" s="14" t="n">
        <x:v>1</x:v>
      </x:c>
      <x:c r="C64" s="14" t="n">
        <x:v>0</x:v>
      </x:c>
      <x:c r="D64" s="14" t="n">
        <x:v>1</x:v>
      </x:c>
      <x:c r="E64" s="14" t="n">
        <x:v>1</x:v>
      </x:c>
      <x:c r="F64" s="14" t="n">
        <x:v>0</x:v>
      </x:c>
      <x:c r="G64" s="14" t="n">
        <x:v>0</x:v>
      </x:c>
      <x:c r="H64" s="14" t="n">
        <x:f>IF(((1-B64)*C64*E64+B64*(1-C64)+B64*C64*(1-G64))&gt;0,1,0)</x:f>
        <x:v>1</x:v>
      </x:c>
      <x:c r="I64" s="14" t="n">
        <x:f>IF(((1-B64)*(1-C64)*D64+(1-B64)*C64*(1-E64)+B64*(1-C64)*F64+B64*C64*(1-G64))&gt;0,1,0)</x:f>
        <x:v>0</x:v>
      </x:c>
      <x:c r="J64" s="14" t="n">
        <x:f>(1-B64)*C64</x:f>
        <x:v>0</x:v>
      </x:c>
      <x:c r="K64" s="14" t="n">
        <x:f>B64*(1-C64)</x:f>
        <x:v>1</x:v>
      </x:c>
      <x:c r="L64" s="14" t="n">
        <x:f>B64*C64</x:f>
        <x:v>0</x:v>
      </x:c>
    </x:row>
    <x:row r="65" ht="23" customHeight="1">
      <x:c r="A65" s="9" t="str">
        <x:v>P2</x:v>
      </x:c>
      <x:c r="B65" s="15" t="n">
        <x:v>1</x:v>
      </x:c>
      <x:c r="C65" s="15" t="n">
        <x:v>0</x:v>
      </x:c>
      <x:c r="D65" s="15" t="n">
        <x:v>1</x:v>
      </x:c>
      <x:c r="E65" s="15" t="n">
        <x:v>1</x:v>
      </x:c>
      <x:c r="F65" s="15" t="n">
        <x:v>0</x:v>
      </x:c>
      <x:c r="G65" s="15" t="n">
        <x:v>1</x:v>
      </x:c>
      <x:c r="H65" s="15" t="n">
        <x:f>IF(((1-B65)*C65*E65+B65*(1-C65)+B65*C65*(1-G65))&gt;0,1,0)</x:f>
        <x:v>1</x:v>
      </x:c>
      <x:c r="I65" s="15" t="n">
        <x:f>IF(((1-B65)*(1-C65)*D65+(1-B65)*C65*(1-E65)+B65*(1-C65)*F65+B65*C65*(1-G65))&gt;0,1,0)</x:f>
        <x:v>0</x:v>
      </x:c>
      <x:c r="J65" s="15" t="n">
        <x:f>(1-B65)*C65</x:f>
        <x:v>0</x:v>
      </x:c>
      <x:c r="K65" s="15" t="n">
        <x:f>B65*(1-C65)</x:f>
        <x:v>1</x:v>
      </x:c>
      <x:c r="L65" s="15" t="n">
        <x:f>B65*C65</x:f>
        <x:v>0</x:v>
      </x:c>
    </x:row>
    <x:row r="66" ht="23" customHeight="1">
      <x:c r="A66" s="2" t="str">
        <x:v>P2</x:v>
      </x:c>
      <x:c r="B66" s="14" t="n">
        <x:v>1</x:v>
      </x:c>
      <x:c r="C66" s="14" t="n">
        <x:v>0</x:v>
      </x:c>
      <x:c r="D66" s="14" t="n">
        <x:v>1</x:v>
      </x:c>
      <x:c r="E66" s="14" t="n">
        <x:v>1</x:v>
      </x:c>
      <x:c r="F66" s="14" t="n">
        <x:v>1</x:v>
      </x:c>
      <x:c r="G66" s="14" t="n">
        <x:v>0</x:v>
      </x:c>
      <x:c r="H66" s="14" t="n">
        <x:f>IF(((1-B66)*C66*E66+B66*(1-C66)+B66*C66*(1-G66))&gt;0,1,0)</x:f>
        <x:v>1</x:v>
      </x:c>
      <x:c r="I66" s="14" t="n">
        <x:f>IF(((1-B66)*(1-C66)*D66+(1-B66)*C66*(1-E66)+B66*(1-C66)*F66+B66*C66*(1-G66))&gt;0,1,0)</x:f>
        <x:v>1</x:v>
      </x:c>
      <x:c r="J66" s="14" t="n">
        <x:f>(1-B66)*C66</x:f>
        <x:v>0</x:v>
      </x:c>
      <x:c r="K66" s="14" t="n">
        <x:f>B66*(1-C66)</x:f>
        <x:v>1</x:v>
      </x:c>
      <x:c r="L66" s="14" t="n">
        <x:f>B66*C66</x:f>
        <x:v>0</x:v>
      </x:c>
    </x:row>
    <x:row r="67" ht="23" customHeight="1">
      <x:c r="A67" s="9" t="str">
        <x:v>P2</x:v>
      </x:c>
      <x:c r="B67" s="15" t="n">
        <x:v>1</x:v>
      </x:c>
      <x:c r="C67" s="15" t="n">
        <x:v>0</x:v>
      </x:c>
      <x:c r="D67" s="15" t="n">
        <x:v>1</x:v>
      </x:c>
      <x:c r="E67" s="15" t="n">
        <x:v>1</x:v>
      </x:c>
      <x:c r="F67" s="15" t="n">
        <x:v>1</x:v>
      </x:c>
      <x:c r="G67" s="15" t="n">
        <x:v>1</x:v>
      </x:c>
      <x:c r="H67" s="15" t="n">
        <x:f>IF(((1-B67)*C67*E67+B67*(1-C67)+B67*C67*(1-G67))&gt;0,1,0)</x:f>
        <x:v>1</x:v>
      </x:c>
      <x:c r="I67" s="15" t="n">
        <x:f>IF(((1-B67)*(1-C67)*D67+(1-B67)*C67*(1-E67)+B67*(1-C67)*F67+B67*C67*(1-G67))&gt;0,1,0)</x:f>
        <x:v>1</x:v>
      </x:c>
      <x:c r="J67" s="15" t="n">
        <x:f>(1-B67)*C67</x:f>
        <x:v>0</x:v>
      </x:c>
      <x:c r="K67" s="15" t="n">
        <x:f>B67*(1-C67)</x:f>
        <x:v>1</x:v>
      </x:c>
      <x:c r="L67" s="15" t="n">
        <x:f>B67*C67</x:f>
        <x:v>0</x:v>
      </x:c>
    </x:row>
    <x:row r="68" ht="23" customHeight="1">
      <x:c r="A68" s="2" t="str">
        <x:v>P3</x:v>
      </x:c>
      <x:c r="B68" s="14" t="n">
        <x:v>1</x:v>
      </x:c>
      <x:c r="C68" s="14" t="n">
        <x:v>1</x:v>
      </x:c>
      <x:c r="D68" s="14" t="n">
        <x:v>0</x:v>
      </x:c>
      <x:c r="E68" s="14" t="n">
        <x:v>0</x:v>
      </x:c>
      <x:c r="F68" s="14" t="n">
        <x:v>0</x:v>
      </x:c>
      <x:c r="G68" s="14" t="n">
        <x:v>0</x:v>
      </x:c>
      <x:c r="H68" s="14" t="n">
        <x:f>IF(((1-B68)*C68*E68+B68*(1-C68)+B68*C68*(1-G68))&gt;0,1,0)</x:f>
        <x:v>1</x:v>
      </x:c>
      <x:c r="I68" s="14" t="n">
        <x:f>IF(((1-B68)*(1-C68)*D68+(1-B68)*C68*(1-E68)+B68*(1-C68)*F68+B68*C68*(1-G68))&gt;0,1,0)</x:f>
        <x:v>1</x:v>
      </x:c>
      <x:c r="J68" s="14" t="n">
        <x:f>(1-B68)*C68</x:f>
        <x:v>0</x:v>
      </x:c>
      <x:c r="K68" s="14" t="n">
        <x:f>B68*(1-C68)</x:f>
        <x:v>0</x:v>
      </x:c>
      <x:c r="L68" s="14" t="n">
        <x:f>B68*C68</x:f>
        <x:v>1</x:v>
      </x:c>
    </x:row>
    <x:row r="69" ht="23" customHeight="1">
      <x:c r="A69" s="9" t="str">
        <x:v>P3</x:v>
      </x:c>
      <x:c r="B69" s="15" t="n">
        <x:v>1</x:v>
      </x:c>
      <x:c r="C69" s="15" t="n">
        <x:v>1</x:v>
      </x:c>
      <x:c r="D69" s="15" t="n">
        <x:v>0</x:v>
      </x:c>
      <x:c r="E69" s="15" t="n">
        <x:v>0</x:v>
      </x:c>
      <x:c r="F69" s="15" t="n">
        <x:v>0</x:v>
      </x:c>
      <x:c r="G69" s="15" t="n">
        <x:v>1</x:v>
      </x:c>
      <x:c r="H69" s="15" t="n">
        <x:f>IF(((1-B69)*C69*E69+B69*(1-C69)+B69*C69*(1-G69))&gt;0,1,0)</x:f>
        <x:v>0</x:v>
      </x:c>
      <x:c r="I69" s="15" t="n">
        <x:f>IF(((1-B69)*(1-C69)*D69+(1-B69)*C69*(1-E69)+B69*(1-C69)*F69+B69*C69*(1-G69))&gt;0,1,0)</x:f>
        <x:v>0</x:v>
      </x:c>
      <x:c r="J69" s="15" t="n">
        <x:f>(1-B69)*C69</x:f>
        <x:v>0</x:v>
      </x:c>
      <x:c r="K69" s="15" t="n">
        <x:f>B69*(1-C69)</x:f>
        <x:v>0</x:v>
      </x:c>
      <x:c r="L69" s="15" t="n">
        <x:f>B69*C69</x:f>
        <x:v>1</x:v>
      </x:c>
    </x:row>
    <x:row r="70" ht="23" customHeight="1">
      <x:c r="A70" s="2" t="str">
        <x:v>P3</x:v>
      </x:c>
      <x:c r="B70" s="14" t="n">
        <x:v>1</x:v>
      </x:c>
      <x:c r="C70" s="14" t="n">
        <x:v>1</x:v>
      </x:c>
      <x:c r="D70" s="14" t="n">
        <x:v>0</x:v>
      </x:c>
      <x:c r="E70" s="14" t="n">
        <x:v>0</x:v>
      </x:c>
      <x:c r="F70" s="14" t="n">
        <x:v>1</x:v>
      </x:c>
      <x:c r="G70" s="14" t="n">
        <x:v>0</x:v>
      </x:c>
      <x:c r="H70" s="14" t="n">
        <x:f>IF(((1-B70)*C70*E70+B70*(1-C70)+B70*C70*(1-G70))&gt;0,1,0)</x:f>
        <x:v>1</x:v>
      </x:c>
      <x:c r="I70" s="14" t="n">
        <x:f>IF(((1-B70)*(1-C70)*D70+(1-B70)*C70*(1-E70)+B70*(1-C70)*F70+B70*C70*(1-G70))&gt;0,1,0)</x:f>
        <x:v>1</x:v>
      </x:c>
      <x:c r="J70" s="14" t="n">
        <x:f>(1-B70)*C70</x:f>
        <x:v>0</x:v>
      </x:c>
      <x:c r="K70" s="14" t="n">
        <x:f>B70*(1-C70)</x:f>
        <x:v>0</x:v>
      </x:c>
      <x:c r="L70" s="14" t="n">
        <x:f>B70*C70</x:f>
        <x:v>1</x:v>
      </x:c>
    </x:row>
    <x:row r="71" ht="23" customHeight="1">
      <x:c r="A71" s="9" t="str">
        <x:v>P3</x:v>
      </x:c>
      <x:c r="B71" s="15" t="n">
        <x:v>1</x:v>
      </x:c>
      <x:c r="C71" s="15" t="n">
        <x:v>1</x:v>
      </x:c>
      <x:c r="D71" s="15" t="n">
        <x:v>0</x:v>
      </x:c>
      <x:c r="E71" s="15" t="n">
        <x:v>0</x:v>
      </x:c>
      <x:c r="F71" s="15" t="n">
        <x:v>1</x:v>
      </x:c>
      <x:c r="G71" s="15" t="n">
        <x:v>1</x:v>
      </x:c>
      <x:c r="H71" s="15" t="n">
        <x:f>IF(((1-B71)*C71*E71+B71*(1-C71)+B71*C71*(1-G71))&gt;0,1,0)</x:f>
        <x:v>0</x:v>
      </x:c>
      <x:c r="I71" s="15" t="n">
        <x:f>IF(((1-B71)*(1-C71)*D71+(1-B71)*C71*(1-E71)+B71*(1-C71)*F71+B71*C71*(1-G71))&gt;0,1,0)</x:f>
        <x:v>0</x:v>
      </x:c>
      <x:c r="J71" s="15" t="n">
        <x:f>(1-B71)*C71</x:f>
        <x:v>0</x:v>
      </x:c>
      <x:c r="K71" s="15" t="n">
        <x:f>B71*(1-C71)</x:f>
        <x:v>0</x:v>
      </x:c>
      <x:c r="L71" s="15" t="n">
        <x:f>B71*C71</x:f>
        <x:v>1</x:v>
      </x:c>
    </x:row>
    <x:row r="72" ht="23" customHeight="1">
      <x:c r="A72" s="2" t="str">
        <x:v>P3</x:v>
      </x:c>
      <x:c r="B72" s="14" t="n">
        <x:v>1</x:v>
      </x:c>
      <x:c r="C72" s="14" t="n">
        <x:v>1</x:v>
      </x:c>
      <x:c r="D72" s="14" t="n">
        <x:v>0</x:v>
      </x:c>
      <x:c r="E72" s="14" t="n">
        <x:v>1</x:v>
      </x:c>
      <x:c r="F72" s="14" t="n">
        <x:v>0</x:v>
      </x:c>
      <x:c r="G72" s="14" t="n">
        <x:v>0</x:v>
      </x:c>
      <x:c r="H72" s="14" t="n">
        <x:f>IF(((1-B72)*C72*E72+B72*(1-C72)+B72*C72*(1-G72))&gt;0,1,0)</x:f>
        <x:v>1</x:v>
      </x:c>
      <x:c r="I72" s="14" t="n">
        <x:f>IF(((1-B72)*(1-C72)*D72+(1-B72)*C72*(1-E72)+B72*(1-C72)*F72+B72*C72*(1-G72))&gt;0,1,0)</x:f>
        <x:v>1</x:v>
      </x:c>
      <x:c r="J72" s="14" t="n">
        <x:f>(1-B72)*C72</x:f>
        <x:v>0</x:v>
      </x:c>
      <x:c r="K72" s="14" t="n">
        <x:f>B72*(1-C72)</x:f>
        <x:v>0</x:v>
      </x:c>
      <x:c r="L72" s="14" t="n">
        <x:f>B72*C72</x:f>
        <x:v>1</x:v>
      </x:c>
    </x:row>
    <x:row r="73" ht="23" customHeight="1">
      <x:c r="A73" s="9" t="str">
        <x:v>P3</x:v>
      </x:c>
      <x:c r="B73" s="15" t="n">
        <x:v>1</x:v>
      </x:c>
      <x:c r="C73" s="15" t="n">
        <x:v>1</x:v>
      </x:c>
      <x:c r="D73" s="15" t="n">
        <x:v>0</x:v>
      </x:c>
      <x:c r="E73" s="15" t="n">
        <x:v>1</x:v>
      </x:c>
      <x:c r="F73" s="15" t="n">
        <x:v>0</x:v>
      </x:c>
      <x:c r="G73" s="15" t="n">
        <x:v>1</x:v>
      </x:c>
      <x:c r="H73" s="15" t="n">
        <x:f>IF(((1-B73)*C73*E73+B73*(1-C73)+B73*C73*(1-G73))&gt;0,1,0)</x:f>
        <x:v>0</x:v>
      </x:c>
      <x:c r="I73" s="15" t="n">
        <x:f>IF(((1-B73)*(1-C73)*D73+(1-B73)*C73*(1-E73)+B73*(1-C73)*F73+B73*C73*(1-G73))&gt;0,1,0)</x:f>
        <x:v>0</x:v>
      </x:c>
      <x:c r="J73" s="15" t="n">
        <x:f>(1-B73)*C73</x:f>
        <x:v>0</x:v>
      </x:c>
      <x:c r="K73" s="15" t="n">
        <x:f>B73*(1-C73)</x:f>
        <x:v>0</x:v>
      </x:c>
      <x:c r="L73" s="15" t="n">
        <x:f>B73*C73</x:f>
        <x:v>1</x:v>
      </x:c>
    </x:row>
    <x:row r="74" ht="23" customHeight="1">
      <x:c r="A74" s="2" t="str">
        <x:v>P3</x:v>
      </x:c>
      <x:c r="B74" s="14" t="n">
        <x:v>1</x:v>
      </x:c>
      <x:c r="C74" s="14" t="n">
        <x:v>1</x:v>
      </x:c>
      <x:c r="D74" s="14" t="n">
        <x:v>0</x:v>
      </x:c>
      <x:c r="E74" s="14" t="n">
        <x:v>1</x:v>
      </x:c>
      <x:c r="F74" s="14" t="n">
        <x:v>1</x:v>
      </x:c>
      <x:c r="G74" s="14" t="n">
        <x:v>0</x:v>
      </x:c>
      <x:c r="H74" s="14" t="n">
        <x:f>IF(((1-B74)*C74*E74+B74*(1-C74)+B74*C74*(1-G74))&gt;0,1,0)</x:f>
        <x:v>1</x:v>
      </x:c>
      <x:c r="I74" s="14" t="n">
        <x:f>IF(((1-B74)*(1-C74)*D74+(1-B74)*C74*(1-E74)+B74*(1-C74)*F74+B74*C74*(1-G74))&gt;0,1,0)</x:f>
        <x:v>1</x:v>
      </x:c>
      <x:c r="J74" s="14" t="n">
        <x:f>(1-B74)*C74</x:f>
        <x:v>0</x:v>
      </x:c>
      <x:c r="K74" s="14" t="n">
        <x:f>B74*(1-C74)</x:f>
        <x:v>0</x:v>
      </x:c>
      <x:c r="L74" s="14" t="n">
        <x:f>B74*C74</x:f>
        <x:v>1</x:v>
      </x:c>
    </x:row>
    <x:row r="75" ht="23" customHeight="1">
      <x:c r="A75" s="9" t="str">
        <x:v>P3</x:v>
      </x:c>
      <x:c r="B75" s="15" t="n">
        <x:v>1</x:v>
      </x:c>
      <x:c r="C75" s="15" t="n">
        <x:v>1</x:v>
      </x:c>
      <x:c r="D75" s="15" t="n">
        <x:v>0</x:v>
      </x:c>
      <x:c r="E75" s="15" t="n">
        <x:v>1</x:v>
      </x:c>
      <x:c r="F75" s="15" t="n">
        <x:v>1</x:v>
      </x:c>
      <x:c r="G75" s="15" t="n">
        <x:v>1</x:v>
      </x:c>
      <x:c r="H75" s="15" t="n">
        <x:f>IF(((1-B75)*C75*E75+B75*(1-C75)+B75*C75*(1-G75))&gt;0,1,0)</x:f>
        <x:v>0</x:v>
      </x:c>
      <x:c r="I75" s="15" t="n">
        <x:f>IF(((1-B75)*(1-C75)*D75+(1-B75)*C75*(1-E75)+B75*(1-C75)*F75+B75*C75*(1-G75))&gt;0,1,0)</x:f>
        <x:v>0</x:v>
      </x:c>
      <x:c r="J75" s="15" t="n">
        <x:f>(1-B75)*C75</x:f>
        <x:v>0</x:v>
      </x:c>
      <x:c r="K75" s="15" t="n">
        <x:f>B75*(1-C75)</x:f>
        <x:v>0</x:v>
      </x:c>
      <x:c r="L75" s="15" t="n">
        <x:f>B75*C75</x:f>
        <x:v>1</x:v>
      </x:c>
    </x:row>
    <x:row r="76" ht="23" customHeight="1">
      <x:c r="A76" s="2" t="str">
        <x:v>P3</x:v>
      </x:c>
      <x:c r="B76" s="14" t="n">
        <x:v>1</x:v>
      </x:c>
      <x:c r="C76" s="14" t="n">
        <x:v>1</x:v>
      </x:c>
      <x:c r="D76" s="14" t="n">
        <x:v>1</x:v>
      </x:c>
      <x:c r="E76" s="14" t="n">
        <x:v>0</x:v>
      </x:c>
      <x:c r="F76" s="14" t="n">
        <x:v>0</x:v>
      </x:c>
      <x:c r="G76" s="14" t="n">
        <x:v>0</x:v>
      </x:c>
      <x:c r="H76" s="14" t="n">
        <x:f>IF(((1-B76)*C76*E76+B76*(1-C76)+B76*C76*(1-G76))&gt;0,1,0)</x:f>
        <x:v>1</x:v>
      </x:c>
      <x:c r="I76" s="14" t="n">
        <x:f>IF(((1-B76)*(1-C76)*D76+(1-B76)*C76*(1-E76)+B76*(1-C76)*F76+B76*C76*(1-G76))&gt;0,1,0)</x:f>
        <x:v>1</x:v>
      </x:c>
      <x:c r="J76" s="14" t="n">
        <x:f>(1-B76)*C76</x:f>
        <x:v>0</x:v>
      </x:c>
      <x:c r="K76" s="14" t="n">
        <x:f>B76*(1-C76)</x:f>
        <x:v>0</x:v>
      </x:c>
      <x:c r="L76" s="14" t="n">
        <x:f>B76*C76</x:f>
        <x:v>1</x:v>
      </x:c>
    </x:row>
    <x:row r="77" ht="23" customHeight="1">
      <x:c r="A77" s="9" t="str">
        <x:v>P3</x:v>
      </x:c>
      <x:c r="B77" s="15" t="n">
        <x:v>1</x:v>
      </x:c>
      <x:c r="C77" s="15" t="n">
        <x:v>1</x:v>
      </x:c>
      <x:c r="D77" s="15" t="n">
        <x:v>1</x:v>
      </x:c>
      <x:c r="E77" s="15" t="n">
        <x:v>0</x:v>
      </x:c>
      <x:c r="F77" s="15" t="n">
        <x:v>0</x:v>
      </x:c>
      <x:c r="G77" s="15" t="n">
        <x:v>1</x:v>
      </x:c>
      <x:c r="H77" s="15" t="n">
        <x:f>IF(((1-B77)*C77*E77+B77*(1-C77)+B77*C77*(1-G77))&gt;0,1,0)</x:f>
        <x:v>0</x:v>
      </x:c>
      <x:c r="I77" s="15" t="n">
        <x:f>IF(((1-B77)*(1-C77)*D77+(1-B77)*C77*(1-E77)+B77*(1-C77)*F77+B77*C77*(1-G77))&gt;0,1,0)</x:f>
        <x:v>0</x:v>
      </x:c>
      <x:c r="J77" s="15" t="n">
        <x:f>(1-B77)*C77</x:f>
        <x:v>0</x:v>
      </x:c>
      <x:c r="K77" s="15" t="n">
        <x:f>B77*(1-C77)</x:f>
        <x:v>0</x:v>
      </x:c>
      <x:c r="L77" s="15" t="n">
        <x:f>B77*C77</x:f>
        <x:v>1</x:v>
      </x:c>
    </x:row>
    <x:row r="78" ht="23" customHeight="1">
      <x:c r="A78" s="2" t="str">
        <x:v>P3</x:v>
      </x:c>
      <x:c r="B78" s="14" t="n">
        <x:v>1</x:v>
      </x:c>
      <x:c r="C78" s="14" t="n">
        <x:v>1</x:v>
      </x:c>
      <x:c r="D78" s="14" t="n">
        <x:v>1</x:v>
      </x:c>
      <x:c r="E78" s="14" t="n">
        <x:v>0</x:v>
      </x:c>
      <x:c r="F78" s="14" t="n">
        <x:v>1</x:v>
      </x:c>
      <x:c r="G78" s="14" t="n">
        <x:v>0</x:v>
      </x:c>
      <x:c r="H78" s="14" t="n">
        <x:f>IF(((1-B78)*C78*E78+B78*(1-C78)+B78*C78*(1-G78))&gt;0,1,0)</x:f>
        <x:v>1</x:v>
      </x:c>
      <x:c r="I78" s="14" t="n">
        <x:f>IF(((1-B78)*(1-C78)*D78+(1-B78)*C78*(1-E78)+B78*(1-C78)*F78+B78*C78*(1-G78))&gt;0,1,0)</x:f>
        <x:v>1</x:v>
      </x:c>
      <x:c r="J78" s="14" t="n">
        <x:f>(1-B78)*C78</x:f>
        <x:v>0</x:v>
      </x:c>
      <x:c r="K78" s="14" t="n">
        <x:f>B78*(1-C78)</x:f>
        <x:v>0</x:v>
      </x:c>
      <x:c r="L78" s="14" t="n">
        <x:f>B78*C78</x:f>
        <x:v>1</x:v>
      </x:c>
    </x:row>
    <x:row r="79" ht="23" customHeight="1">
      <x:c r="A79" s="9" t="str">
        <x:v>P3</x:v>
      </x:c>
      <x:c r="B79" s="15" t="n">
        <x:v>1</x:v>
      </x:c>
      <x:c r="C79" s="15" t="n">
        <x:v>1</x:v>
      </x:c>
      <x:c r="D79" s="15" t="n">
        <x:v>1</x:v>
      </x:c>
      <x:c r="E79" s="15" t="n">
        <x:v>0</x:v>
      </x:c>
      <x:c r="F79" s="15" t="n">
        <x:v>1</x:v>
      </x:c>
      <x:c r="G79" s="15" t="n">
        <x:v>1</x:v>
      </x:c>
      <x:c r="H79" s="15" t="n">
        <x:f>IF(((1-B79)*C79*E79+B79*(1-C79)+B79*C79*(1-G79))&gt;0,1,0)</x:f>
        <x:v>0</x:v>
      </x:c>
      <x:c r="I79" s="15" t="n">
        <x:f>IF(((1-B79)*(1-C79)*D79+(1-B79)*C79*(1-E79)+B79*(1-C79)*F79+B79*C79*(1-G79))&gt;0,1,0)</x:f>
        <x:v>0</x:v>
      </x:c>
      <x:c r="J79" s="15" t="n">
        <x:f>(1-B79)*C79</x:f>
        <x:v>0</x:v>
      </x:c>
      <x:c r="K79" s="15" t="n">
        <x:f>B79*(1-C79)</x:f>
        <x:v>0</x:v>
      </x:c>
      <x:c r="L79" s="15" t="n">
        <x:f>B79*C79</x:f>
        <x:v>1</x:v>
      </x:c>
    </x:row>
    <x:row r="80" ht="23" customHeight="1">
      <x:c r="A80" s="2" t="str">
        <x:v>P3</x:v>
      </x:c>
      <x:c r="B80" s="14" t="n">
        <x:v>1</x:v>
      </x:c>
      <x:c r="C80" s="14" t="n">
        <x:v>1</x:v>
      </x:c>
      <x:c r="D80" s="14" t="n">
        <x:v>1</x:v>
      </x:c>
      <x:c r="E80" s="14" t="n">
        <x:v>1</x:v>
      </x:c>
      <x:c r="F80" s="14" t="n">
        <x:v>0</x:v>
      </x:c>
      <x:c r="G80" s="14" t="n">
        <x:v>0</x:v>
      </x:c>
      <x:c r="H80" s="14" t="n">
        <x:f>IF(((1-B80)*C80*E80+B80*(1-C80)+B80*C80*(1-G80))&gt;0,1,0)</x:f>
        <x:v>1</x:v>
      </x:c>
      <x:c r="I80" s="14" t="n">
        <x:f>IF(((1-B80)*(1-C80)*D80+(1-B80)*C80*(1-E80)+B80*(1-C80)*F80+B80*C80*(1-G80))&gt;0,1,0)</x:f>
        <x:v>1</x:v>
      </x:c>
      <x:c r="J80" s="14" t="n">
        <x:f>(1-B80)*C80</x:f>
        <x:v>0</x:v>
      </x:c>
      <x:c r="K80" s="14" t="n">
        <x:f>B80*(1-C80)</x:f>
        <x:v>0</x:v>
      </x:c>
      <x:c r="L80" s="14" t="n">
        <x:f>B80*C80</x:f>
        <x:v>1</x:v>
      </x:c>
    </x:row>
    <x:row r="81" ht="23" customHeight="1">
      <x:c r="A81" s="9" t="str">
        <x:v>P3</x:v>
      </x:c>
      <x:c r="B81" s="15" t="n">
        <x:v>1</x:v>
      </x:c>
      <x:c r="C81" s="15" t="n">
        <x:v>1</x:v>
      </x:c>
      <x:c r="D81" s="15" t="n">
        <x:v>1</x:v>
      </x:c>
      <x:c r="E81" s="15" t="n">
        <x:v>1</x:v>
      </x:c>
      <x:c r="F81" s="15" t="n">
        <x:v>0</x:v>
      </x:c>
      <x:c r="G81" s="15" t="n">
        <x:v>1</x:v>
      </x:c>
      <x:c r="H81" s="15" t="n">
        <x:f>IF(((1-B81)*C81*E81+B81*(1-C81)+B81*C81*(1-G81))&gt;0,1,0)</x:f>
        <x:v>0</x:v>
      </x:c>
      <x:c r="I81" s="15" t="n">
        <x:f>IF(((1-B81)*(1-C81)*D81+(1-B81)*C81*(1-E81)+B81*(1-C81)*F81+B81*C81*(1-G81))&gt;0,1,0)</x:f>
        <x:v>0</x:v>
      </x:c>
      <x:c r="J81" s="15" t="n">
        <x:f>(1-B81)*C81</x:f>
        <x:v>0</x:v>
      </x:c>
      <x:c r="K81" s="15" t="n">
        <x:f>B81*(1-C81)</x:f>
        <x:v>0</x:v>
      </x:c>
      <x:c r="L81" s="15" t="n">
        <x:f>B81*C81</x:f>
        <x:v>1</x:v>
      </x:c>
    </x:row>
    <x:row r="82" ht="23" customHeight="1">
      <x:c r="A82" s="2" t="str">
        <x:v>P3</x:v>
      </x:c>
      <x:c r="B82" s="14" t="n">
        <x:v>1</x:v>
      </x:c>
      <x:c r="C82" s="14" t="n">
        <x:v>1</x:v>
      </x:c>
      <x:c r="D82" s="14" t="n">
        <x:v>1</x:v>
      </x:c>
      <x:c r="E82" s="14" t="n">
        <x:v>1</x:v>
      </x:c>
      <x:c r="F82" s="14" t="n">
        <x:v>1</x:v>
      </x:c>
      <x:c r="G82" s="14" t="n">
        <x:v>0</x:v>
      </x:c>
      <x:c r="H82" s="14" t="n">
        <x:f>IF(((1-B82)*C82*E82+B82*(1-C82)+B82*C82*(1-G82))&gt;0,1,0)</x:f>
        <x:v>1</x:v>
      </x:c>
      <x:c r="I82" s="14" t="n">
        <x:f>IF(((1-B82)*(1-C82)*D82+(1-B82)*C82*(1-E82)+B82*(1-C82)*F82+B82*C82*(1-G82))&gt;0,1,0)</x:f>
        <x:v>1</x:v>
      </x:c>
      <x:c r="J82" s="14" t="n">
        <x:f>(1-B82)*C82</x:f>
        <x:v>0</x:v>
      </x:c>
      <x:c r="K82" s="14" t="n">
        <x:f>B82*(1-C82)</x:f>
        <x:v>0</x:v>
      </x:c>
      <x:c r="L82" s="14" t="n">
        <x:f>B82*C82</x:f>
        <x:v>1</x:v>
      </x:c>
    </x:row>
    <x:row r="83" ht="23" customHeight="1">
      <x:c r="A83" s="9" t="str">
        <x:v>P3</x:v>
      </x:c>
      <x:c r="B83" s="15" t="n">
        <x:v>1</x:v>
      </x:c>
      <x:c r="C83" s="15" t="n">
        <x:v>1</x:v>
      </x:c>
      <x:c r="D83" s="15" t="n">
        <x:v>1</x:v>
      </x:c>
      <x:c r="E83" s="15" t="n">
        <x:v>1</x:v>
      </x:c>
      <x:c r="F83" s="15" t="n">
        <x:v>1</x:v>
      </x:c>
      <x:c r="G83" s="15" t="n">
        <x:v>1</x:v>
      </x:c>
      <x:c r="H83" s="15" t="n">
        <x:f>IF(((1-B83)*C83*E83+B83*(1-C83)+B83*C83*(1-G83))&gt;0,1,0)</x:f>
        <x:v>0</x:v>
      </x:c>
      <x:c r="I83" s="15" t="n">
        <x:f>IF(((1-B83)*(1-C83)*D83+(1-B83)*C83*(1-E83)+B83*(1-C83)*F83+B83*C83*(1-G83))&gt;0,1,0)</x:f>
        <x:v>0</x:v>
      </x:c>
      <x:c r="J83" s="15" t="n">
        <x:f>(1-B83)*C83</x:f>
        <x:v>0</x:v>
      </x:c>
      <x:c r="K83" s="15" t="n">
        <x:f>B83*(1-C83)</x:f>
        <x:v>0</x:v>
      </x:c>
      <x:c r="L83" s="15" t="n">
        <x:f>B83*C83</x:f>
        <x:v>1</x:v>
      </x:c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</x:row>
    <x:row r="86" ht="23" customHeight="1">
      <x:c r="A86" s="4" t="str">
        <x:v>Cada estado tiene dos ramas: esperar su señal o avanzar. INS y Q son el mismo cable.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</x:row>
    <x:row r="88" ht="23" customHeight="1">
      <x:c r="A88" s="4" t="str">
        <x:v>Los cuatro códigos de estado están definidos. Cambia de estado únicamente en el flanco ascendente de CLK.</x:v>
      </x:c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8.5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</x:row>
    <x:row r="2" ht="30" customHeight="1">
      <x:c r="A2" s="3" t="str">
        <x:v>Mealy estados y transiciones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</x:row>
    <x:row r="3" ht="23" customHeight="1">
      <x:c r="A3" s="4" t="str">
        <x:v>RST=0 en las tablas. Con RST=1, ambos bits siguientes son 0. X significa entrada irrelevante.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</x:row>
    <x:row r="5" ht="29" customHeight="1">
      <x:c r="A5" s="8" t="str">
        <x:v>Estado</x:v>
      </x:c>
      <x:c r="B5" s="8" t="str">
        <x:v>b1</x:v>
      </x:c>
      <x:c r="C5" s="8" t="str">
        <x:v>b0</x:v>
      </x:c>
      <x:c r="D5" s="8" t="str">
        <x:v>Q</x:v>
      </x:c>
      <x:c r="E5" s="8" t="str">
        <x:v>I</x:v>
      </x:c>
      <x:c r="F5" s="8" t="str">
        <x:v>G</x:v>
      </x:c>
      <x:c r="G5" s="8" t="str">
        <x:v>R</x:v>
      </x:c>
      <x:c r="H5" s="8" t="str">
        <x:v>b1+</x:v>
      </x:c>
      <x:c r="I5" s="8" t="str">
        <x:v>b0+</x:v>
      </x:c>
      <x:c r="J5" s="8" t="str">
        <x:v>AV</x:v>
      </x:c>
      <x:c r="K5" s="8" t="str">
        <x:v>DV</x:v>
      </x:c>
      <x:c r="L5" s="8" t="str">
        <x:v>ERR</x:v>
      </x:c>
      <x:c r="M5" s="8" t="str">
        <x:v>OK</x:v>
      </x:c>
      <x:c r="N5" s="8" t="str">
        <x:v>F</x:v>
      </x:c>
    </x:row>
    <x:row r="6" ht="23" customHeight="1">
      <x:c r="A6" s="2" t="str">
        <x:v>B0</x:v>
      </x:c>
      <x:c r="B6" s="14" t="n">
        <x:v>0</x:v>
      </x:c>
      <x:c r="C6" s="14" t="n">
        <x:v>0</x:v>
      </x:c>
      <x:c r="D6" s="14" t="n">
        <x:v>0</x:v>
      </x:c>
      <x:c r="E6" s="14" t="str">
        <x:v>X</x:v>
      </x:c>
      <x:c r="F6" s="14" t="str">
        <x:v>X</x:v>
      </x:c>
      <x:c r="G6" s="14" t="str">
        <x:v>X</x:v>
      </x:c>
      <x:c r="H6" s="14" t="n">
        <x:v>0</x:v>
      </x:c>
      <x:c r="I6" s="14" t="n">
        <x:v>0</x:v>
      </x:c>
      <x:c r="J6" s="14" t="n">
        <x:v>0</x:v>
      </x:c>
      <x:c r="K6" s="14" t="n">
        <x:v>0</x:v>
      </x:c>
      <x:c r="L6" s="14" t="n">
        <x:v>0</x:v>
      </x:c>
      <x:c r="M6" s="14" t="n">
        <x:v>0</x:v>
      </x:c>
      <x:c r="N6" s="14" t="n">
        <x:v>0</x:v>
      </x:c>
    </x:row>
    <x:row r="7" ht="23" customHeight="1">
      <x:c r="A7" s="9" t="str">
        <x:v>B0</x:v>
      </x:c>
      <x:c r="B7" s="15" t="n">
        <x:v>0</x:v>
      </x:c>
      <x:c r="C7" s="15" t="n">
        <x:v>0</x:v>
      </x:c>
      <x:c r="D7" s="15" t="n">
        <x:v>1</x:v>
      </x:c>
      <x:c r="E7" s="15" t="n">
        <x:v>0</x:v>
      </x:c>
      <x:c r="F7" s="15" t="str">
        <x:v>X</x:v>
      </x:c>
      <x:c r="G7" s="15" t="str">
        <x:v>X</x:v>
      </x:c>
      <x:c r="H7" s="15" t="n">
        <x:v>0</x:v>
      </x:c>
      <x:c r="I7" s="15" t="n">
        <x:v>0</x:v>
      </x:c>
      <x:c r="J7" s="15" t="n">
        <x:v>0</x:v>
      </x:c>
      <x:c r="K7" s="15" t="n">
        <x:v>0</x:v>
      </x:c>
      <x:c r="L7" s="15" t="n">
        <x:v>0</x:v>
      </x:c>
      <x:c r="M7" s="15" t="n">
        <x:v>0</x:v>
      </x:c>
      <x:c r="N7" s="15" t="n">
        <x:v>0</x:v>
      </x:c>
    </x:row>
    <x:row r="8" ht="23" customHeight="1">
      <x:c r="A8" s="2" t="str">
        <x:v>B0</x:v>
      </x:c>
      <x:c r="B8" s="14" t="n">
        <x:v>0</x:v>
      </x:c>
      <x:c r="C8" s="14" t="n">
        <x:v>0</x:v>
      </x:c>
      <x:c r="D8" s="14" t="n">
        <x:v>1</x:v>
      </x:c>
      <x:c r="E8" s="14" t="n">
        <x:v>1</x:v>
      </x:c>
      <x:c r="F8" s="14" t="n">
        <x:v>0</x:v>
      </x:c>
      <x:c r="G8" s="14" t="str">
        <x:v>X</x:v>
      </x:c>
      <x:c r="H8" s="14" t="n">
        <x:v>1</x:v>
      </x:c>
      <x:c r="I8" s="14" t="n">
        <x:v>0</x:v>
      </x:c>
      <x:c r="J8" s="14" t="n">
        <x:v>0</x:v>
      </x:c>
      <x:c r="K8" s="14" t="n">
        <x:v>0</x:v>
      </x:c>
      <x:c r="L8" s="14" t="n">
        <x:v>0</x:v>
      </x:c>
      <x:c r="M8" s="14" t="n">
        <x:v>0</x:v>
      </x:c>
      <x:c r="N8" s="14" t="n">
        <x:v>0</x:v>
      </x:c>
    </x:row>
    <x:row r="9" ht="23" customHeight="1">
      <x:c r="A9" s="9" t="str">
        <x:v>B0</x:v>
      </x:c>
      <x:c r="B9" s="15" t="n">
        <x:v>0</x:v>
      </x:c>
      <x:c r="C9" s="15" t="n">
        <x:v>0</x:v>
      </x:c>
      <x:c r="D9" s="15" t="n">
        <x:v>1</x:v>
      </x:c>
      <x:c r="E9" s="15" t="n">
        <x:v>1</x:v>
      </x:c>
      <x:c r="F9" s="15" t="n">
        <x:v>1</x:v>
      </x:c>
      <x:c r="G9" s="15" t="str">
        <x:v>X</x:v>
      </x:c>
      <x:c r="H9" s="15" t="n">
        <x:v>0</x:v>
      </x:c>
      <x:c r="I9" s="15" t="n">
        <x:v>1</x:v>
      </x:c>
      <x:c r="J9" s="15" t="n">
        <x:v>0</x:v>
      </x:c>
      <x:c r="K9" s="15" t="n">
        <x:v>0</x:v>
      </x:c>
      <x:c r="L9" s="15" t="n">
        <x:v>0</x:v>
      </x:c>
      <x:c r="M9" s="15" t="n">
        <x:v>0</x:v>
      </x:c>
      <x:c r="N9" s="15" t="n">
        <x:v>0</x:v>
      </x:c>
    </x:row>
    <x:row r="10" ht="23" customHeight="1">
      <x:c r="A10" s="2" t="str">
        <x:v>B1</x:v>
      </x:c>
      <x:c r="B10" s="14" t="n">
        <x:v>0</x:v>
      </x:c>
      <x:c r="C10" s="14" t="n">
        <x:v>1</x:v>
      </x:c>
      <x:c r="D10" s="14" t="str">
        <x:v>X</x:v>
      </x:c>
      <x:c r="E10" s="14" t="str">
        <x:v>X</x:v>
      </x:c>
      <x:c r="F10" s="14" t="str">
        <x:v>X</x:v>
      </x:c>
      <x:c r="G10" s="14" t="n">
        <x:v>0</x:v>
      </x:c>
      <x:c r="H10" s="14" t="n">
        <x:v>0</x:v>
      </x:c>
      <x:c r="I10" s="14" t="n">
        <x:v>1</x:v>
      </x:c>
      <x:c r="J10" s="14" t="n">
        <x:v>1</x:v>
      </x:c>
      <x:c r="K10" s="14" t="n">
        <x:v>0</x:v>
      </x:c>
      <x:c r="L10" s="14" t="n">
        <x:v>0</x:v>
      </x:c>
      <x:c r="M10" s="14" t="n">
        <x:v>0</x:v>
      </x:c>
      <x:c r="N10" s="14" t="n">
        <x:v>0</x:v>
      </x:c>
    </x:row>
    <x:row r="11" ht="23" customHeight="1">
      <x:c r="A11" s="9" t="str">
        <x:v>B1</x:v>
      </x:c>
      <x:c r="B11" s="15" t="n">
        <x:v>0</x:v>
      </x:c>
      <x:c r="C11" s="15" t="n">
        <x:v>1</x:v>
      </x:c>
      <x:c r="D11" s="15" t="str">
        <x:v>X</x:v>
      </x:c>
      <x:c r="E11" s="15" t="str">
        <x:v>X</x:v>
      </x:c>
      <x:c r="F11" s="15" t="str">
        <x:v>X</x:v>
      </x:c>
      <x:c r="G11" s="15" t="n">
        <x:v>1</x:v>
      </x:c>
      <x:c r="H11" s="15" t="n">
        <x:v>1</x:v>
      </x:c>
      <x:c r="I11" s="15" t="n">
        <x:v>1</x:v>
      </x:c>
      <x:c r="J11" s="15" t="n">
        <x:v>0</x:v>
      </x:c>
      <x:c r="K11" s="15" t="n">
        <x:v>0</x:v>
      </x:c>
      <x:c r="L11" s="15" t="n">
        <x:v>0</x:v>
      </x:c>
      <x:c r="M11" s="15" t="n">
        <x:v>1</x:v>
      </x:c>
      <x:c r="N11" s="15" t="n">
        <x:v>1</x:v>
      </x:c>
    </x:row>
    <x:row r="12" ht="23" customHeight="1">
      <x:c r="A12" s="2" t="str">
        <x:v>B2</x:v>
      </x:c>
      <x:c r="B12" s="14" t="n">
        <x:v>1</x:v>
      </x:c>
      <x:c r="C12" s="14" t="n">
        <x:v>0</x:v>
      </x:c>
      <x:c r="D12" s="14" t="str">
        <x:v>X</x:v>
      </x:c>
      <x:c r="E12" s="14" t="str">
        <x:v>X</x:v>
      </x:c>
      <x:c r="F12" s="14" t="str">
        <x:v>X</x:v>
      </x:c>
      <x:c r="G12" s="14" t="n">
        <x:v>0</x:v>
      </x:c>
      <x:c r="H12" s="14" t="n">
        <x:v>1</x:v>
      </x:c>
      <x:c r="I12" s="14" t="n">
        <x:v>0</x:v>
      </x:c>
      <x:c r="J12" s="14" t="n">
        <x:v>1</x:v>
      </x:c>
      <x:c r="K12" s="14" t="n">
        <x:v>1</x:v>
      </x:c>
      <x:c r="L12" s="14" t="n">
        <x:v>1</x:v>
      </x:c>
      <x:c r="M12" s="14" t="n">
        <x:v>0</x:v>
      </x:c>
      <x:c r="N12" s="14" t="n">
        <x:v>0</x:v>
      </x:c>
    </x:row>
    <x:row r="13" ht="23" customHeight="1">
      <x:c r="A13" s="9" t="str">
        <x:v>B2</x:v>
      </x:c>
      <x:c r="B13" s="15" t="n">
        <x:v>1</x:v>
      </x:c>
      <x:c r="C13" s="15" t="n">
        <x:v>0</x:v>
      </x:c>
      <x:c r="D13" s="15" t="str">
        <x:v>X</x:v>
      </x:c>
      <x:c r="E13" s="15" t="str">
        <x:v>X</x:v>
      </x:c>
      <x:c r="F13" s="15" t="str">
        <x:v>X</x:v>
      </x:c>
      <x:c r="G13" s="15" t="n">
        <x:v>1</x:v>
      </x:c>
      <x:c r="H13" s="15" t="n">
        <x:v>1</x:v>
      </x:c>
      <x:c r="I13" s="15" t="n">
        <x:v>1</x:v>
      </x:c>
      <x:c r="J13" s="15" t="n">
        <x:v>0</x:v>
      </x:c>
      <x:c r="K13" s="15" t="n">
        <x:v>0</x:v>
      </x:c>
      <x:c r="L13" s="15" t="n">
        <x:v>1</x:v>
      </x:c>
      <x:c r="M13" s="15" t="n">
        <x:v>0</x:v>
      </x:c>
      <x:c r="N13" s="15" t="n">
        <x:v>1</x:v>
      </x:c>
    </x:row>
    <x:row r="14" ht="23" customHeight="1">
      <x:c r="A14" s="2" t="str">
        <x:v>B3</x:v>
      </x:c>
      <x:c r="B14" s="14" t="n">
        <x:v>1</x:v>
      </x:c>
      <x:c r="C14" s="14" t="n">
        <x:v>1</x:v>
      </x:c>
      <x:c r="D14" s="14" t="n">
        <x:v>0</x:v>
      </x:c>
      <x:c r="E14" s="14" t="str">
        <x:v>X</x:v>
      </x:c>
      <x:c r="F14" s="14" t="str">
        <x:v>X</x:v>
      </x:c>
      <x:c r="G14" s="14" t="str">
        <x:v>X</x:v>
      </x:c>
      <x:c r="H14" s="14" t="n">
        <x:v>0</x:v>
      </x:c>
      <x:c r="I14" s="14" t="n">
        <x:v>0</x:v>
      </x:c>
      <x:c r="J14" s="14" t="n">
        <x:v>0</x:v>
      </x:c>
      <x:c r="K14" s="14" t="n">
        <x:v>0</x:v>
      </x:c>
      <x:c r="L14" s="14" t="n">
        <x:v>0</x:v>
      </x:c>
      <x:c r="M14" s="14" t="n">
        <x:v>0</x:v>
      </x:c>
      <x:c r="N14" s="14" t="n">
        <x:v>0</x:v>
      </x:c>
    </x:row>
    <x:row r="15" ht="23" customHeight="1">
      <x:c r="A15" s="9" t="str">
        <x:v>B3</x:v>
      </x:c>
      <x:c r="B15" s="15" t="n">
        <x:v>1</x:v>
      </x:c>
      <x:c r="C15" s="15" t="n">
        <x:v>1</x:v>
      </x:c>
      <x:c r="D15" s="15" t="n">
        <x:v>1</x:v>
      </x:c>
      <x:c r="E15" s="15" t="str">
        <x:v>X</x:v>
      </x:c>
      <x:c r="F15" s="15" t="str">
        <x:v>X</x:v>
      </x:c>
      <x:c r="G15" s="15" t="str">
        <x:v>X</x:v>
      </x:c>
      <x:c r="H15" s="15" t="n">
        <x:v>1</x:v>
      </x:c>
      <x:c r="I15" s="15" t="n">
        <x:v>1</x:v>
      </x:c>
      <x:c r="J15" s="15" t="n">
        <x:v>0</x:v>
      </x:c>
      <x:c r="K15" s="15" t="n">
        <x:v>0</x:v>
      </x:c>
      <x:c r="L15" s="15" t="n">
        <x:v>0</x:v>
      </x:c>
      <x:c r="M15" s="15" t="n">
        <x:v>0</x:v>
      </x:c>
      <x:c r="N15" s="15" t="n">
        <x:v>0</x:v>
      </x:c>
    </x:row>
    <x:row r="16" ht="23" customHeight="1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</x:row>
    <x:row r="17" ht="23" customHeight="1">
      <x:c r="A17" s="4" t="str">
        <x:v>Tabla exhaustiva de 64 combinaciones. Los bits siguientes y las salidas se calculan con fórmulas.</x:v>
      </x:c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</x:row>
    <x:row r="19" ht="29" customHeight="1">
      <x:c r="A19" s="8" t="str">
        <x:v>Estado</x:v>
      </x:c>
      <x:c r="B19" s="8" t="str">
        <x:v>b1</x:v>
      </x:c>
      <x:c r="C19" s="8" t="str">
        <x:v>b0</x:v>
      </x:c>
      <x:c r="D19" s="8" t="str">
        <x:v>Q</x:v>
      </x:c>
      <x:c r="E19" s="8" t="str">
        <x:v>I</x:v>
      </x:c>
      <x:c r="F19" s="8" t="str">
        <x:v>G</x:v>
      </x:c>
      <x:c r="G19" s="8" t="str">
        <x:v>R</x:v>
      </x:c>
      <x:c r="H19" s="8" t="str">
        <x:v>b1+</x:v>
      </x:c>
      <x:c r="I19" s="8" t="str">
        <x:v>b0+</x:v>
      </x:c>
      <x:c r="J19" s="8" t="str">
        <x:v>AV</x:v>
      </x:c>
      <x:c r="K19" s="8" t="str">
        <x:v>DV</x:v>
      </x:c>
      <x:c r="L19" s="8" t="str">
        <x:v>ERR</x:v>
      </x:c>
      <x:c r="M19" s="8" t="str">
        <x:v>OK</x:v>
      </x:c>
      <x:c r="N19" s="8" t="str">
        <x:v>F</x:v>
      </x:c>
    </x:row>
    <x:row r="20" ht="23" customHeight="1">
      <x:c r="A20" s="2" t="str">
        <x:v>B0</x:v>
      </x:c>
      <x:c r="B20" s="14" t="n">
        <x:v>0</x:v>
      </x:c>
      <x:c r="C20" s="14" t="n">
        <x:v>0</x:v>
      </x:c>
      <x:c r="D20" s="14" t="n">
        <x:v>0</x:v>
      </x:c>
      <x:c r="E20" s="14" t="n">
        <x:v>0</x:v>
      </x:c>
      <x:c r="F20" s="14" t="n">
        <x:v>0</x:v>
      </x:c>
      <x:c r="G20" s="14" t="n">
        <x:v>0</x:v>
      </x:c>
      <x:c r="H20" s="14" t="n">
        <x:f>IF(((1-B20)*(1-C20)*D20*E20*(1-F20)+(1-B20)*C20*G20+B20*(1-C20)+B20*C20*D20)&gt;0,1,0)</x:f>
        <x:v>0</x:v>
      </x:c>
      <x:c r="I20" s="14" t="n">
        <x:f>IF(((1-B20)*(1-C20)*D20*E20*F20+(1-B20)*C20+B20*(1-C20)*G20+B20*C20*D20)&gt;0,1,0)</x:f>
        <x:v>0</x:v>
      </x:c>
      <x:c r="J20" s="14" t="n">
        <x:f>((1-B20)*C20+B20*(1-C20))*(1-G20)</x:f>
        <x:v>0</x:v>
      </x:c>
      <x:c r="K20" s="14" t="n">
        <x:f>B20*(1-C20)*(1-G20)</x:f>
        <x:v>0</x:v>
      </x:c>
      <x:c r="L20" s="14" t="n">
        <x:f>B20*(1-C20)</x:f>
        <x:v>0</x:v>
      </x:c>
      <x:c r="M20" s="14" t="n">
        <x:f>(1-B20)*C20*G20</x:f>
        <x:v>0</x:v>
      </x:c>
      <x:c r="N20" s="14" t="n">
        <x:f>((1-B20)*C20+B20*(1-C20))*G20</x:f>
        <x:v>0</x:v>
      </x:c>
    </x:row>
    <x:row r="21" ht="23" customHeight="1">
      <x:c r="A21" s="9" t="str">
        <x:v>B0</x:v>
      </x:c>
      <x:c r="B21" s="15" t="n">
        <x:v>0</x:v>
      </x:c>
      <x:c r="C21" s="15" t="n">
        <x:v>0</x:v>
      </x:c>
      <x:c r="D21" s="15" t="n">
        <x:v>0</x:v>
      </x:c>
      <x:c r="E21" s="15" t="n">
        <x:v>0</x:v>
      </x:c>
      <x:c r="F21" s="15" t="n">
        <x:v>0</x:v>
      </x:c>
      <x:c r="G21" s="15" t="n">
        <x:v>1</x:v>
      </x:c>
      <x:c r="H21" s="15" t="n">
        <x:f>IF(((1-B21)*(1-C21)*D21*E21*(1-F21)+(1-B21)*C21*G21+B21*(1-C21)+B21*C21*D21)&gt;0,1,0)</x:f>
        <x:v>0</x:v>
      </x:c>
      <x:c r="I21" s="15" t="n">
        <x:f>IF(((1-B21)*(1-C21)*D21*E21*F21+(1-B21)*C21+B21*(1-C21)*G21+B21*C21*D21)&gt;0,1,0)</x:f>
        <x:v>0</x:v>
      </x:c>
      <x:c r="J21" s="15" t="n">
        <x:f>((1-B21)*C21+B21*(1-C21))*(1-G21)</x:f>
        <x:v>0</x:v>
      </x:c>
      <x:c r="K21" s="15" t="n">
        <x:f>B21*(1-C21)*(1-G21)</x:f>
        <x:v>0</x:v>
      </x:c>
      <x:c r="L21" s="15" t="n">
        <x:f>B21*(1-C21)</x:f>
        <x:v>0</x:v>
      </x:c>
      <x:c r="M21" s="15" t="n">
        <x:f>(1-B21)*C21*G21</x:f>
        <x:v>0</x:v>
      </x:c>
      <x:c r="N21" s="15" t="n">
        <x:f>((1-B21)*C21+B21*(1-C21))*G21</x:f>
        <x:v>0</x:v>
      </x:c>
    </x:row>
    <x:row r="22" ht="23" customHeight="1">
      <x:c r="A22" s="2" t="str">
        <x:v>B0</x:v>
      </x:c>
      <x:c r="B22" s="14" t="n">
        <x:v>0</x:v>
      </x:c>
      <x:c r="C22" s="14" t="n">
        <x:v>0</x:v>
      </x:c>
      <x:c r="D22" s="14" t="n">
        <x:v>0</x:v>
      </x:c>
      <x:c r="E22" s="14" t="n">
        <x:v>0</x:v>
      </x:c>
      <x:c r="F22" s="14" t="n">
        <x:v>1</x:v>
      </x:c>
      <x:c r="G22" s="14" t="n">
        <x:v>0</x:v>
      </x:c>
      <x:c r="H22" s="14" t="n">
        <x:f>IF(((1-B22)*(1-C22)*D22*E22*(1-F22)+(1-B22)*C22*G22+B22*(1-C22)+B22*C22*D22)&gt;0,1,0)</x:f>
        <x:v>0</x:v>
      </x:c>
      <x:c r="I22" s="14" t="n">
        <x:f>IF(((1-B22)*(1-C22)*D22*E22*F22+(1-B22)*C22+B22*(1-C22)*G22+B22*C22*D22)&gt;0,1,0)</x:f>
        <x:v>0</x:v>
      </x:c>
      <x:c r="J22" s="14" t="n">
        <x:f>((1-B22)*C22+B22*(1-C22))*(1-G22)</x:f>
        <x:v>0</x:v>
      </x:c>
      <x:c r="K22" s="14" t="n">
        <x:f>B22*(1-C22)*(1-G22)</x:f>
        <x:v>0</x:v>
      </x:c>
      <x:c r="L22" s="14" t="n">
        <x:f>B22*(1-C22)</x:f>
        <x:v>0</x:v>
      </x:c>
      <x:c r="M22" s="14" t="n">
        <x:f>(1-B22)*C22*G22</x:f>
        <x:v>0</x:v>
      </x:c>
      <x:c r="N22" s="14" t="n">
        <x:f>((1-B22)*C22+B22*(1-C22))*G22</x:f>
        <x:v>0</x:v>
      </x:c>
    </x:row>
    <x:row r="23" ht="23" customHeight="1">
      <x:c r="A23" s="9" t="str">
        <x:v>B0</x:v>
      </x:c>
      <x:c r="B23" s="15" t="n">
        <x:v>0</x:v>
      </x:c>
      <x:c r="C23" s="15" t="n">
        <x:v>0</x:v>
      </x:c>
      <x:c r="D23" s="15" t="n">
        <x:v>0</x:v>
      </x:c>
      <x:c r="E23" s="15" t="n">
        <x:v>0</x:v>
      </x:c>
      <x:c r="F23" s="15" t="n">
        <x:v>1</x:v>
      </x:c>
      <x:c r="G23" s="15" t="n">
        <x:v>1</x:v>
      </x:c>
      <x:c r="H23" s="15" t="n">
        <x:f>IF(((1-B23)*(1-C23)*D23*E23*(1-F23)+(1-B23)*C23*G23+B23*(1-C23)+B23*C23*D23)&gt;0,1,0)</x:f>
        <x:v>0</x:v>
      </x:c>
      <x:c r="I23" s="15" t="n">
        <x:f>IF(((1-B23)*(1-C23)*D23*E23*F23+(1-B23)*C23+B23*(1-C23)*G23+B23*C23*D23)&gt;0,1,0)</x:f>
        <x:v>0</x:v>
      </x:c>
      <x:c r="J23" s="15" t="n">
        <x:f>((1-B23)*C23+B23*(1-C23))*(1-G23)</x:f>
        <x:v>0</x:v>
      </x:c>
      <x:c r="K23" s="15" t="n">
        <x:f>B23*(1-C23)*(1-G23)</x:f>
        <x:v>0</x:v>
      </x:c>
      <x:c r="L23" s="15" t="n">
        <x:f>B23*(1-C23)</x:f>
        <x:v>0</x:v>
      </x:c>
      <x:c r="M23" s="15" t="n">
        <x:f>(1-B23)*C23*G23</x:f>
        <x:v>0</x:v>
      </x:c>
      <x:c r="N23" s="15" t="n">
        <x:f>((1-B23)*C23+B23*(1-C23))*G23</x:f>
        <x:v>0</x:v>
      </x:c>
    </x:row>
    <x:row r="24" ht="23" customHeight="1">
      <x:c r="A24" s="2" t="str">
        <x:v>B0</x:v>
      </x:c>
      <x:c r="B24" s="14" t="n">
        <x:v>0</x:v>
      </x:c>
      <x:c r="C24" s="14" t="n">
        <x:v>0</x:v>
      </x:c>
      <x:c r="D24" s="14" t="n">
        <x:v>0</x:v>
      </x:c>
      <x:c r="E24" s="14" t="n">
        <x:v>1</x:v>
      </x:c>
      <x:c r="F24" s="14" t="n">
        <x:v>0</x:v>
      </x:c>
      <x:c r="G24" s="14" t="n">
        <x:v>0</x:v>
      </x:c>
      <x:c r="H24" s="14" t="n">
        <x:f>IF(((1-B24)*(1-C24)*D24*E24*(1-F24)+(1-B24)*C24*G24+B24*(1-C24)+B24*C24*D24)&gt;0,1,0)</x:f>
        <x:v>0</x:v>
      </x:c>
      <x:c r="I24" s="14" t="n">
        <x:f>IF(((1-B24)*(1-C24)*D24*E24*F24+(1-B24)*C24+B24*(1-C24)*G24+B24*C24*D24)&gt;0,1,0)</x:f>
        <x:v>0</x:v>
      </x:c>
      <x:c r="J24" s="14" t="n">
        <x:f>((1-B24)*C24+B24*(1-C24))*(1-G24)</x:f>
        <x:v>0</x:v>
      </x:c>
      <x:c r="K24" s="14" t="n">
        <x:f>B24*(1-C24)*(1-G24)</x:f>
        <x:v>0</x:v>
      </x:c>
      <x:c r="L24" s="14" t="n">
        <x:f>B24*(1-C24)</x:f>
        <x:v>0</x:v>
      </x:c>
      <x:c r="M24" s="14" t="n">
        <x:f>(1-B24)*C24*G24</x:f>
        <x:v>0</x:v>
      </x:c>
      <x:c r="N24" s="14" t="n">
        <x:f>((1-B24)*C24+B24*(1-C24))*G24</x:f>
        <x:v>0</x:v>
      </x:c>
    </x:row>
    <x:row r="25" ht="23" customHeight="1">
      <x:c r="A25" s="9" t="str">
        <x:v>B0</x:v>
      </x:c>
      <x:c r="B25" s="15" t="n">
        <x:v>0</x:v>
      </x:c>
      <x:c r="C25" s="15" t="n">
        <x:v>0</x:v>
      </x:c>
      <x:c r="D25" s="15" t="n">
        <x:v>0</x:v>
      </x:c>
      <x:c r="E25" s="15" t="n">
        <x:v>1</x:v>
      </x:c>
      <x:c r="F25" s="15" t="n">
        <x:v>0</x:v>
      </x:c>
      <x:c r="G25" s="15" t="n">
        <x:v>1</x:v>
      </x:c>
      <x:c r="H25" s="15" t="n">
        <x:f>IF(((1-B25)*(1-C25)*D25*E25*(1-F25)+(1-B25)*C25*G25+B25*(1-C25)+B25*C25*D25)&gt;0,1,0)</x:f>
        <x:v>0</x:v>
      </x:c>
      <x:c r="I25" s="15" t="n">
        <x:f>IF(((1-B25)*(1-C25)*D25*E25*F25+(1-B25)*C25+B25*(1-C25)*G25+B25*C25*D25)&gt;0,1,0)</x:f>
        <x:v>0</x:v>
      </x:c>
      <x:c r="J25" s="15" t="n">
        <x:f>((1-B25)*C25+B25*(1-C25))*(1-G25)</x:f>
        <x:v>0</x:v>
      </x:c>
      <x:c r="K25" s="15" t="n">
        <x:f>B25*(1-C25)*(1-G25)</x:f>
        <x:v>0</x:v>
      </x:c>
      <x:c r="L25" s="15" t="n">
        <x:f>B25*(1-C25)</x:f>
        <x:v>0</x:v>
      </x:c>
      <x:c r="M25" s="15" t="n">
        <x:f>(1-B25)*C25*G25</x:f>
        <x:v>0</x:v>
      </x:c>
      <x:c r="N25" s="15" t="n">
        <x:f>((1-B25)*C25+B25*(1-C25))*G25</x:f>
        <x:v>0</x:v>
      </x:c>
    </x:row>
    <x:row r="26" ht="23" customHeight="1">
      <x:c r="A26" s="2" t="str">
        <x:v>B0</x:v>
      </x:c>
      <x:c r="B26" s="14" t="n">
        <x:v>0</x:v>
      </x:c>
      <x:c r="C26" s="14" t="n">
        <x:v>0</x:v>
      </x:c>
      <x:c r="D26" s="14" t="n">
        <x:v>0</x:v>
      </x:c>
      <x:c r="E26" s="14" t="n">
        <x:v>1</x:v>
      </x:c>
      <x:c r="F26" s="14" t="n">
        <x:v>1</x:v>
      </x:c>
      <x:c r="G26" s="14" t="n">
        <x:v>0</x:v>
      </x:c>
      <x:c r="H26" s="14" t="n">
        <x:f>IF(((1-B26)*(1-C26)*D26*E26*(1-F26)+(1-B26)*C26*G26+B26*(1-C26)+B26*C26*D26)&gt;0,1,0)</x:f>
        <x:v>0</x:v>
      </x:c>
      <x:c r="I26" s="14" t="n">
        <x:f>IF(((1-B26)*(1-C26)*D26*E26*F26+(1-B26)*C26+B26*(1-C26)*G26+B26*C26*D26)&gt;0,1,0)</x:f>
        <x:v>0</x:v>
      </x:c>
      <x:c r="J26" s="14" t="n">
        <x:f>((1-B26)*C26+B26*(1-C26))*(1-G26)</x:f>
        <x:v>0</x:v>
      </x:c>
      <x:c r="K26" s="14" t="n">
        <x:f>B26*(1-C26)*(1-G26)</x:f>
        <x:v>0</x:v>
      </x:c>
      <x:c r="L26" s="14" t="n">
        <x:f>B26*(1-C26)</x:f>
        <x:v>0</x:v>
      </x:c>
      <x:c r="M26" s="14" t="n">
        <x:f>(1-B26)*C26*G26</x:f>
        <x:v>0</x:v>
      </x:c>
      <x:c r="N26" s="14" t="n">
        <x:f>((1-B26)*C26+B26*(1-C26))*G26</x:f>
        <x:v>0</x:v>
      </x:c>
    </x:row>
    <x:row r="27" ht="23" customHeight="1">
      <x:c r="A27" s="9" t="str">
        <x:v>B0</x:v>
      </x:c>
      <x:c r="B27" s="15" t="n">
        <x:v>0</x:v>
      </x:c>
      <x:c r="C27" s="15" t="n">
        <x:v>0</x:v>
      </x:c>
      <x:c r="D27" s="15" t="n">
        <x:v>0</x:v>
      </x:c>
      <x:c r="E27" s="15" t="n">
        <x:v>1</x:v>
      </x:c>
      <x:c r="F27" s="15" t="n">
        <x:v>1</x:v>
      </x:c>
      <x:c r="G27" s="15" t="n">
        <x:v>1</x:v>
      </x:c>
      <x:c r="H27" s="15" t="n">
        <x:f>IF(((1-B27)*(1-C27)*D27*E27*(1-F27)+(1-B27)*C27*G27+B27*(1-C27)+B27*C27*D27)&gt;0,1,0)</x:f>
        <x:v>0</x:v>
      </x:c>
      <x:c r="I27" s="15" t="n">
        <x:f>IF(((1-B27)*(1-C27)*D27*E27*F27+(1-B27)*C27+B27*(1-C27)*G27+B27*C27*D27)&gt;0,1,0)</x:f>
        <x:v>0</x:v>
      </x:c>
      <x:c r="J27" s="15" t="n">
        <x:f>((1-B27)*C27+B27*(1-C27))*(1-G27)</x:f>
        <x:v>0</x:v>
      </x:c>
      <x:c r="K27" s="15" t="n">
        <x:f>B27*(1-C27)*(1-G27)</x:f>
        <x:v>0</x:v>
      </x:c>
      <x:c r="L27" s="15" t="n">
        <x:f>B27*(1-C27)</x:f>
        <x:v>0</x:v>
      </x:c>
      <x:c r="M27" s="15" t="n">
        <x:f>(1-B27)*C27*G27</x:f>
        <x:v>0</x:v>
      </x:c>
      <x:c r="N27" s="15" t="n">
        <x:f>((1-B27)*C27+B27*(1-C27))*G27</x:f>
        <x:v>0</x:v>
      </x:c>
    </x:row>
    <x:row r="28" ht="23" customHeight="1">
      <x:c r="A28" s="2" t="str">
        <x:v>B0</x:v>
      </x:c>
      <x:c r="B28" s="14" t="n">
        <x:v>0</x:v>
      </x:c>
      <x:c r="C28" s="14" t="n">
        <x:v>0</x:v>
      </x:c>
      <x:c r="D28" s="14" t="n">
        <x:v>1</x:v>
      </x:c>
      <x:c r="E28" s="14" t="n">
        <x:v>0</x:v>
      </x:c>
      <x:c r="F28" s="14" t="n">
        <x:v>0</x:v>
      </x:c>
      <x:c r="G28" s="14" t="n">
        <x:v>0</x:v>
      </x:c>
      <x:c r="H28" s="14" t="n">
        <x:f>IF(((1-B28)*(1-C28)*D28*E28*(1-F28)+(1-B28)*C28*G28+B28*(1-C28)+B28*C28*D28)&gt;0,1,0)</x:f>
        <x:v>0</x:v>
      </x:c>
      <x:c r="I28" s="14" t="n">
        <x:f>IF(((1-B28)*(1-C28)*D28*E28*F28+(1-B28)*C28+B28*(1-C28)*G28+B28*C28*D28)&gt;0,1,0)</x:f>
        <x:v>0</x:v>
      </x:c>
      <x:c r="J28" s="14" t="n">
        <x:f>((1-B28)*C28+B28*(1-C28))*(1-G28)</x:f>
        <x:v>0</x:v>
      </x:c>
      <x:c r="K28" s="14" t="n">
        <x:f>B28*(1-C28)*(1-G28)</x:f>
        <x:v>0</x:v>
      </x:c>
      <x:c r="L28" s="14" t="n">
        <x:f>B28*(1-C28)</x:f>
        <x:v>0</x:v>
      </x:c>
      <x:c r="M28" s="14" t="n">
        <x:f>(1-B28)*C28*G28</x:f>
        <x:v>0</x:v>
      </x:c>
      <x:c r="N28" s="14" t="n">
        <x:f>((1-B28)*C28+B28*(1-C28))*G28</x:f>
        <x:v>0</x:v>
      </x:c>
    </x:row>
    <x:row r="29" ht="23" customHeight="1">
      <x:c r="A29" s="9" t="str">
        <x:v>B0</x:v>
      </x:c>
      <x:c r="B29" s="15" t="n">
        <x:v>0</x:v>
      </x:c>
      <x:c r="C29" s="15" t="n">
        <x:v>0</x:v>
      </x:c>
      <x:c r="D29" s="15" t="n">
        <x:v>1</x:v>
      </x:c>
      <x:c r="E29" s="15" t="n">
        <x:v>0</x:v>
      </x:c>
      <x:c r="F29" s="15" t="n">
        <x:v>0</x:v>
      </x:c>
      <x:c r="G29" s="15" t="n">
        <x:v>1</x:v>
      </x:c>
      <x:c r="H29" s="15" t="n">
        <x:f>IF(((1-B29)*(1-C29)*D29*E29*(1-F29)+(1-B29)*C29*G29+B29*(1-C29)+B29*C29*D29)&gt;0,1,0)</x:f>
        <x:v>0</x:v>
      </x:c>
      <x:c r="I29" s="15" t="n">
        <x:f>IF(((1-B29)*(1-C29)*D29*E29*F29+(1-B29)*C29+B29*(1-C29)*G29+B29*C29*D29)&gt;0,1,0)</x:f>
        <x:v>0</x:v>
      </x:c>
      <x:c r="J29" s="15" t="n">
        <x:f>((1-B29)*C29+B29*(1-C29))*(1-G29)</x:f>
        <x:v>0</x:v>
      </x:c>
      <x:c r="K29" s="15" t="n">
        <x:f>B29*(1-C29)*(1-G29)</x:f>
        <x:v>0</x:v>
      </x:c>
      <x:c r="L29" s="15" t="n">
        <x:f>B29*(1-C29)</x:f>
        <x:v>0</x:v>
      </x:c>
      <x:c r="M29" s="15" t="n">
        <x:f>(1-B29)*C29*G29</x:f>
        <x:v>0</x:v>
      </x:c>
      <x:c r="N29" s="15" t="n">
        <x:f>((1-B29)*C29+B29*(1-C29))*G29</x:f>
        <x:v>0</x:v>
      </x:c>
    </x:row>
    <x:row r="30" ht="23" customHeight="1">
      <x:c r="A30" s="2" t="str">
        <x:v>B0</x:v>
      </x:c>
      <x:c r="B30" s="14" t="n">
        <x:v>0</x:v>
      </x:c>
      <x:c r="C30" s="14" t="n">
        <x:v>0</x:v>
      </x:c>
      <x:c r="D30" s="14" t="n">
        <x:v>1</x:v>
      </x:c>
      <x:c r="E30" s="14" t="n">
        <x:v>0</x:v>
      </x:c>
      <x:c r="F30" s="14" t="n">
        <x:v>1</x:v>
      </x:c>
      <x:c r="G30" s="14" t="n">
        <x:v>0</x:v>
      </x:c>
      <x:c r="H30" s="14" t="n">
        <x:f>IF(((1-B30)*(1-C30)*D30*E30*(1-F30)+(1-B30)*C30*G30+B30*(1-C30)+B30*C30*D30)&gt;0,1,0)</x:f>
        <x:v>0</x:v>
      </x:c>
      <x:c r="I30" s="14" t="n">
        <x:f>IF(((1-B30)*(1-C30)*D30*E30*F30+(1-B30)*C30+B30*(1-C30)*G30+B30*C30*D30)&gt;0,1,0)</x:f>
        <x:v>0</x:v>
      </x:c>
      <x:c r="J30" s="14" t="n">
        <x:f>((1-B30)*C30+B30*(1-C30))*(1-G30)</x:f>
        <x:v>0</x:v>
      </x:c>
      <x:c r="K30" s="14" t="n">
        <x:f>B30*(1-C30)*(1-G30)</x:f>
        <x:v>0</x:v>
      </x:c>
      <x:c r="L30" s="14" t="n">
        <x:f>B30*(1-C30)</x:f>
        <x:v>0</x:v>
      </x:c>
      <x:c r="M30" s="14" t="n">
        <x:f>(1-B30)*C30*G30</x:f>
        <x:v>0</x:v>
      </x:c>
      <x:c r="N30" s="14" t="n">
        <x:f>((1-B30)*C30+B30*(1-C30))*G30</x:f>
        <x:v>0</x:v>
      </x:c>
    </x:row>
    <x:row r="31" ht="23" customHeight="1">
      <x:c r="A31" s="9" t="str">
        <x:v>B0</x:v>
      </x:c>
      <x:c r="B31" s="15" t="n">
        <x:v>0</x:v>
      </x:c>
      <x:c r="C31" s="15" t="n">
        <x:v>0</x:v>
      </x:c>
      <x:c r="D31" s="15" t="n">
        <x:v>1</x:v>
      </x:c>
      <x:c r="E31" s="15" t="n">
        <x:v>0</x:v>
      </x:c>
      <x:c r="F31" s="15" t="n">
        <x:v>1</x:v>
      </x:c>
      <x:c r="G31" s="15" t="n">
        <x:v>1</x:v>
      </x:c>
      <x:c r="H31" s="15" t="n">
        <x:f>IF(((1-B31)*(1-C31)*D31*E31*(1-F31)+(1-B31)*C31*G31+B31*(1-C31)+B31*C31*D31)&gt;0,1,0)</x:f>
        <x:v>0</x:v>
      </x:c>
      <x:c r="I31" s="15" t="n">
        <x:f>IF(((1-B31)*(1-C31)*D31*E31*F31+(1-B31)*C31+B31*(1-C31)*G31+B31*C31*D31)&gt;0,1,0)</x:f>
        <x:v>0</x:v>
      </x:c>
      <x:c r="J31" s="15" t="n">
        <x:f>((1-B31)*C31+B31*(1-C31))*(1-G31)</x:f>
        <x:v>0</x:v>
      </x:c>
      <x:c r="K31" s="15" t="n">
        <x:f>B31*(1-C31)*(1-G31)</x:f>
        <x:v>0</x:v>
      </x:c>
      <x:c r="L31" s="15" t="n">
        <x:f>B31*(1-C31)</x:f>
        <x:v>0</x:v>
      </x:c>
      <x:c r="M31" s="15" t="n">
        <x:f>(1-B31)*C31*G31</x:f>
        <x:v>0</x:v>
      </x:c>
      <x:c r="N31" s="15" t="n">
        <x:f>((1-B31)*C31+B31*(1-C31))*G31</x:f>
        <x:v>0</x:v>
      </x:c>
    </x:row>
    <x:row r="32" ht="23" customHeight="1">
      <x:c r="A32" s="2" t="str">
        <x:v>B0</x:v>
      </x:c>
      <x:c r="B32" s="14" t="n">
        <x:v>0</x:v>
      </x:c>
      <x:c r="C32" s="14" t="n">
        <x:v>0</x:v>
      </x:c>
      <x:c r="D32" s="14" t="n">
        <x:v>1</x:v>
      </x:c>
      <x:c r="E32" s="14" t="n">
        <x:v>1</x:v>
      </x:c>
      <x:c r="F32" s="14" t="n">
        <x:v>0</x:v>
      </x:c>
      <x:c r="G32" s="14" t="n">
        <x:v>0</x:v>
      </x:c>
      <x:c r="H32" s="14" t="n">
        <x:f>IF(((1-B32)*(1-C32)*D32*E32*(1-F32)+(1-B32)*C32*G32+B32*(1-C32)+B32*C32*D32)&gt;0,1,0)</x:f>
        <x:v>1</x:v>
      </x:c>
      <x:c r="I32" s="14" t="n">
        <x:f>IF(((1-B32)*(1-C32)*D32*E32*F32+(1-B32)*C32+B32*(1-C32)*G32+B32*C32*D32)&gt;0,1,0)</x:f>
        <x:v>0</x:v>
      </x:c>
      <x:c r="J32" s="14" t="n">
        <x:f>((1-B32)*C32+B32*(1-C32))*(1-G32)</x:f>
        <x:v>0</x:v>
      </x:c>
      <x:c r="K32" s="14" t="n">
        <x:f>B32*(1-C32)*(1-G32)</x:f>
        <x:v>0</x:v>
      </x:c>
      <x:c r="L32" s="14" t="n">
        <x:f>B32*(1-C32)</x:f>
        <x:v>0</x:v>
      </x:c>
      <x:c r="M32" s="14" t="n">
        <x:f>(1-B32)*C32*G32</x:f>
        <x:v>0</x:v>
      </x:c>
      <x:c r="N32" s="14" t="n">
        <x:f>((1-B32)*C32+B32*(1-C32))*G32</x:f>
        <x:v>0</x:v>
      </x:c>
    </x:row>
    <x:row r="33" ht="23" customHeight="1">
      <x:c r="A33" s="9" t="str">
        <x:v>B0</x:v>
      </x:c>
      <x:c r="B33" s="15" t="n">
        <x:v>0</x:v>
      </x:c>
      <x:c r="C33" s="15" t="n">
        <x:v>0</x:v>
      </x:c>
      <x:c r="D33" s="15" t="n">
        <x:v>1</x:v>
      </x:c>
      <x:c r="E33" s="15" t="n">
        <x:v>1</x:v>
      </x:c>
      <x:c r="F33" s="15" t="n">
        <x:v>0</x:v>
      </x:c>
      <x:c r="G33" s="15" t="n">
        <x:v>1</x:v>
      </x:c>
      <x:c r="H33" s="15" t="n">
        <x:f>IF(((1-B33)*(1-C33)*D33*E33*(1-F33)+(1-B33)*C33*G33+B33*(1-C33)+B33*C33*D33)&gt;0,1,0)</x:f>
        <x:v>1</x:v>
      </x:c>
      <x:c r="I33" s="15" t="n">
        <x:f>IF(((1-B33)*(1-C33)*D33*E33*F33+(1-B33)*C33+B33*(1-C33)*G33+B33*C33*D33)&gt;0,1,0)</x:f>
        <x:v>0</x:v>
      </x:c>
      <x:c r="J33" s="15" t="n">
        <x:f>((1-B33)*C33+B33*(1-C33))*(1-G33)</x:f>
        <x:v>0</x:v>
      </x:c>
      <x:c r="K33" s="15" t="n">
        <x:f>B33*(1-C33)*(1-G33)</x:f>
        <x:v>0</x:v>
      </x:c>
      <x:c r="L33" s="15" t="n">
        <x:f>B33*(1-C33)</x:f>
        <x:v>0</x:v>
      </x:c>
      <x:c r="M33" s="15" t="n">
        <x:f>(1-B33)*C33*G33</x:f>
        <x:v>0</x:v>
      </x:c>
      <x:c r="N33" s="15" t="n">
        <x:f>((1-B33)*C33+B33*(1-C33))*G33</x:f>
        <x:v>0</x:v>
      </x:c>
    </x:row>
    <x:row r="34" ht="23" customHeight="1">
      <x:c r="A34" s="2" t="str">
        <x:v>B0</x:v>
      </x:c>
      <x:c r="B34" s="14" t="n">
        <x:v>0</x:v>
      </x:c>
      <x:c r="C34" s="14" t="n">
        <x:v>0</x:v>
      </x:c>
      <x:c r="D34" s="14" t="n">
        <x:v>1</x:v>
      </x:c>
      <x:c r="E34" s="14" t="n">
        <x:v>1</x:v>
      </x:c>
      <x:c r="F34" s="14" t="n">
        <x:v>1</x:v>
      </x:c>
      <x:c r="G34" s="14" t="n">
        <x:v>0</x:v>
      </x:c>
      <x:c r="H34" s="14" t="n">
        <x:f>IF(((1-B34)*(1-C34)*D34*E34*(1-F34)+(1-B34)*C34*G34+B34*(1-C34)+B34*C34*D34)&gt;0,1,0)</x:f>
        <x:v>0</x:v>
      </x:c>
      <x:c r="I34" s="14" t="n">
        <x:f>IF(((1-B34)*(1-C34)*D34*E34*F34+(1-B34)*C34+B34*(1-C34)*G34+B34*C34*D34)&gt;0,1,0)</x:f>
        <x:v>1</x:v>
      </x:c>
      <x:c r="J34" s="14" t="n">
        <x:f>((1-B34)*C34+B34*(1-C34))*(1-G34)</x:f>
        <x:v>0</x:v>
      </x:c>
      <x:c r="K34" s="14" t="n">
        <x:f>B34*(1-C34)*(1-G34)</x:f>
        <x:v>0</x:v>
      </x:c>
      <x:c r="L34" s="14" t="n">
        <x:f>B34*(1-C34)</x:f>
        <x:v>0</x:v>
      </x:c>
      <x:c r="M34" s="14" t="n">
        <x:f>(1-B34)*C34*G34</x:f>
        <x:v>0</x:v>
      </x:c>
      <x:c r="N34" s="14" t="n">
        <x:f>((1-B34)*C34+B34*(1-C34))*G34</x:f>
        <x:v>0</x:v>
      </x:c>
    </x:row>
    <x:row r="35" ht="23" customHeight="1">
      <x:c r="A35" s="9" t="str">
        <x:v>B0</x:v>
      </x:c>
      <x:c r="B35" s="15" t="n">
        <x:v>0</x:v>
      </x:c>
      <x:c r="C35" s="15" t="n">
        <x:v>0</x:v>
      </x:c>
      <x:c r="D35" s="15" t="n">
        <x:v>1</x:v>
      </x:c>
      <x:c r="E35" s="15" t="n">
        <x:v>1</x:v>
      </x:c>
      <x:c r="F35" s="15" t="n">
        <x:v>1</x:v>
      </x:c>
      <x:c r="G35" s="15" t="n">
        <x:v>1</x:v>
      </x:c>
      <x:c r="H35" s="15" t="n">
        <x:f>IF(((1-B35)*(1-C35)*D35*E35*(1-F35)+(1-B35)*C35*G35+B35*(1-C35)+B35*C35*D35)&gt;0,1,0)</x:f>
        <x:v>0</x:v>
      </x:c>
      <x:c r="I35" s="15" t="n">
        <x:f>IF(((1-B35)*(1-C35)*D35*E35*F35+(1-B35)*C35+B35*(1-C35)*G35+B35*C35*D35)&gt;0,1,0)</x:f>
        <x:v>1</x:v>
      </x:c>
      <x:c r="J35" s="15" t="n">
        <x:f>((1-B35)*C35+B35*(1-C35))*(1-G35)</x:f>
        <x:v>0</x:v>
      </x:c>
      <x:c r="K35" s="15" t="n">
        <x:f>B35*(1-C35)*(1-G35)</x:f>
        <x:v>0</x:v>
      </x:c>
      <x:c r="L35" s="15" t="n">
        <x:f>B35*(1-C35)</x:f>
        <x:v>0</x:v>
      </x:c>
      <x:c r="M35" s="15" t="n">
        <x:f>(1-B35)*C35*G35</x:f>
        <x:v>0</x:v>
      </x:c>
      <x:c r="N35" s="15" t="n">
        <x:f>((1-B35)*C35+B35*(1-C35))*G35</x:f>
        <x:v>0</x:v>
      </x:c>
    </x:row>
    <x:row r="36" ht="23" customHeight="1">
      <x:c r="A36" s="2" t="str">
        <x:v>B1</x:v>
      </x:c>
      <x:c r="B36" s="14" t="n">
        <x:v>0</x:v>
      </x:c>
      <x:c r="C36" s="14" t="n">
        <x:v>1</x:v>
      </x:c>
      <x:c r="D36" s="14" t="n">
        <x:v>0</x:v>
      </x:c>
      <x:c r="E36" s="14" t="n">
        <x:v>0</x:v>
      </x:c>
      <x:c r="F36" s="14" t="n">
        <x:v>0</x:v>
      </x:c>
      <x:c r="G36" s="14" t="n">
        <x:v>0</x:v>
      </x:c>
      <x:c r="H36" s="14" t="n">
        <x:f>IF(((1-B36)*(1-C36)*D36*E36*(1-F36)+(1-B36)*C36*G36+B36*(1-C36)+B36*C36*D36)&gt;0,1,0)</x:f>
        <x:v>0</x:v>
      </x:c>
      <x:c r="I36" s="14" t="n">
        <x:f>IF(((1-B36)*(1-C36)*D36*E36*F36+(1-B36)*C36+B36*(1-C36)*G36+B36*C36*D36)&gt;0,1,0)</x:f>
        <x:v>1</x:v>
      </x:c>
      <x:c r="J36" s="14" t="n">
        <x:f>((1-B36)*C36+B36*(1-C36))*(1-G36)</x:f>
        <x:v>1</x:v>
      </x:c>
      <x:c r="K36" s="14" t="n">
        <x:f>B36*(1-C36)*(1-G36)</x:f>
        <x:v>0</x:v>
      </x:c>
      <x:c r="L36" s="14" t="n">
        <x:f>B36*(1-C36)</x:f>
        <x:v>0</x:v>
      </x:c>
      <x:c r="M36" s="14" t="n">
        <x:f>(1-B36)*C36*G36</x:f>
        <x:v>0</x:v>
      </x:c>
      <x:c r="N36" s="14" t="n">
        <x:f>((1-B36)*C36+B36*(1-C36))*G36</x:f>
        <x:v>0</x:v>
      </x:c>
    </x:row>
    <x:row r="37" ht="23" customHeight="1">
      <x:c r="A37" s="9" t="str">
        <x:v>B1</x:v>
      </x:c>
      <x:c r="B37" s="15" t="n">
        <x:v>0</x:v>
      </x:c>
      <x:c r="C37" s="15" t="n">
        <x:v>1</x:v>
      </x:c>
      <x:c r="D37" s="15" t="n">
        <x:v>0</x:v>
      </x:c>
      <x:c r="E37" s="15" t="n">
        <x:v>0</x:v>
      </x:c>
      <x:c r="F37" s="15" t="n">
        <x:v>0</x:v>
      </x:c>
      <x:c r="G37" s="15" t="n">
        <x:v>1</x:v>
      </x:c>
      <x:c r="H37" s="15" t="n">
        <x:f>IF(((1-B37)*(1-C37)*D37*E37*(1-F37)+(1-B37)*C37*G37+B37*(1-C37)+B37*C37*D37)&gt;0,1,0)</x:f>
        <x:v>1</x:v>
      </x:c>
      <x:c r="I37" s="15" t="n">
        <x:f>IF(((1-B37)*(1-C37)*D37*E37*F37+(1-B37)*C37+B37*(1-C37)*G37+B37*C37*D37)&gt;0,1,0)</x:f>
        <x:v>1</x:v>
      </x:c>
      <x:c r="J37" s="15" t="n">
        <x:f>((1-B37)*C37+B37*(1-C37))*(1-G37)</x:f>
        <x:v>0</x:v>
      </x:c>
      <x:c r="K37" s="15" t="n">
        <x:f>B37*(1-C37)*(1-G37)</x:f>
        <x:v>0</x:v>
      </x:c>
      <x:c r="L37" s="15" t="n">
        <x:f>B37*(1-C37)</x:f>
        <x:v>0</x:v>
      </x:c>
      <x:c r="M37" s="15" t="n">
        <x:f>(1-B37)*C37*G37</x:f>
        <x:v>1</x:v>
      </x:c>
      <x:c r="N37" s="15" t="n">
        <x:f>((1-B37)*C37+B37*(1-C37))*G37</x:f>
        <x:v>1</x:v>
      </x:c>
    </x:row>
    <x:row r="38" ht="23" customHeight="1">
      <x:c r="A38" s="2" t="str">
        <x:v>B1</x:v>
      </x:c>
      <x:c r="B38" s="14" t="n">
        <x:v>0</x:v>
      </x:c>
      <x:c r="C38" s="14" t="n">
        <x:v>1</x:v>
      </x:c>
      <x:c r="D38" s="14" t="n">
        <x:v>0</x:v>
      </x:c>
      <x:c r="E38" s="14" t="n">
        <x:v>0</x:v>
      </x:c>
      <x:c r="F38" s="14" t="n">
        <x:v>1</x:v>
      </x:c>
      <x:c r="G38" s="14" t="n">
        <x:v>0</x:v>
      </x:c>
      <x:c r="H38" s="14" t="n">
        <x:f>IF(((1-B38)*(1-C38)*D38*E38*(1-F38)+(1-B38)*C38*G38+B38*(1-C38)+B38*C38*D38)&gt;0,1,0)</x:f>
        <x:v>0</x:v>
      </x:c>
      <x:c r="I38" s="14" t="n">
        <x:f>IF(((1-B38)*(1-C38)*D38*E38*F38+(1-B38)*C38+B38*(1-C38)*G38+B38*C38*D38)&gt;0,1,0)</x:f>
        <x:v>1</x:v>
      </x:c>
      <x:c r="J38" s="14" t="n">
        <x:f>((1-B38)*C38+B38*(1-C38))*(1-G38)</x:f>
        <x:v>1</x:v>
      </x:c>
      <x:c r="K38" s="14" t="n">
        <x:f>B38*(1-C38)*(1-G38)</x:f>
        <x:v>0</x:v>
      </x:c>
      <x:c r="L38" s="14" t="n">
        <x:f>B38*(1-C38)</x:f>
        <x:v>0</x:v>
      </x:c>
      <x:c r="M38" s="14" t="n">
        <x:f>(1-B38)*C38*G38</x:f>
        <x:v>0</x:v>
      </x:c>
      <x:c r="N38" s="14" t="n">
        <x:f>((1-B38)*C38+B38*(1-C38))*G38</x:f>
        <x:v>0</x:v>
      </x:c>
    </x:row>
    <x:row r="39" ht="23" customHeight="1">
      <x:c r="A39" s="9" t="str">
        <x:v>B1</x:v>
      </x:c>
      <x:c r="B39" s="15" t="n">
        <x:v>0</x:v>
      </x:c>
      <x:c r="C39" s="15" t="n">
        <x:v>1</x:v>
      </x:c>
      <x:c r="D39" s="15" t="n">
        <x:v>0</x:v>
      </x:c>
      <x:c r="E39" s="15" t="n">
        <x:v>0</x:v>
      </x:c>
      <x:c r="F39" s="15" t="n">
        <x:v>1</x:v>
      </x:c>
      <x:c r="G39" s="15" t="n">
        <x:v>1</x:v>
      </x:c>
      <x:c r="H39" s="15" t="n">
        <x:f>IF(((1-B39)*(1-C39)*D39*E39*(1-F39)+(1-B39)*C39*G39+B39*(1-C39)+B39*C39*D39)&gt;0,1,0)</x:f>
        <x:v>1</x:v>
      </x:c>
      <x:c r="I39" s="15" t="n">
        <x:f>IF(((1-B39)*(1-C39)*D39*E39*F39+(1-B39)*C39+B39*(1-C39)*G39+B39*C39*D39)&gt;0,1,0)</x:f>
        <x:v>1</x:v>
      </x:c>
      <x:c r="J39" s="15" t="n">
        <x:f>((1-B39)*C39+B39*(1-C39))*(1-G39)</x:f>
        <x:v>0</x:v>
      </x:c>
      <x:c r="K39" s="15" t="n">
        <x:f>B39*(1-C39)*(1-G39)</x:f>
        <x:v>0</x:v>
      </x:c>
      <x:c r="L39" s="15" t="n">
        <x:f>B39*(1-C39)</x:f>
        <x:v>0</x:v>
      </x:c>
      <x:c r="M39" s="15" t="n">
        <x:f>(1-B39)*C39*G39</x:f>
        <x:v>1</x:v>
      </x:c>
      <x:c r="N39" s="15" t="n">
        <x:f>((1-B39)*C39+B39*(1-C39))*G39</x:f>
        <x:v>1</x:v>
      </x:c>
    </x:row>
    <x:row r="40" ht="23" customHeight="1">
      <x:c r="A40" s="2" t="str">
        <x:v>B1</x:v>
      </x:c>
      <x:c r="B40" s="14" t="n">
        <x:v>0</x:v>
      </x:c>
      <x:c r="C40" s="14" t="n">
        <x:v>1</x:v>
      </x:c>
      <x:c r="D40" s="14" t="n">
        <x:v>0</x:v>
      </x:c>
      <x:c r="E40" s="14" t="n">
        <x:v>1</x:v>
      </x:c>
      <x:c r="F40" s="14" t="n">
        <x:v>0</x:v>
      </x:c>
      <x:c r="G40" s="14" t="n">
        <x:v>0</x:v>
      </x:c>
      <x:c r="H40" s="14" t="n">
        <x:f>IF(((1-B40)*(1-C40)*D40*E40*(1-F40)+(1-B40)*C40*G40+B40*(1-C40)+B40*C40*D40)&gt;0,1,0)</x:f>
        <x:v>0</x:v>
      </x:c>
      <x:c r="I40" s="14" t="n">
        <x:f>IF(((1-B40)*(1-C40)*D40*E40*F40+(1-B40)*C40+B40*(1-C40)*G40+B40*C40*D40)&gt;0,1,0)</x:f>
        <x:v>1</x:v>
      </x:c>
      <x:c r="J40" s="14" t="n">
        <x:f>((1-B40)*C40+B40*(1-C40))*(1-G40)</x:f>
        <x:v>1</x:v>
      </x:c>
      <x:c r="K40" s="14" t="n">
        <x:f>B40*(1-C40)*(1-G40)</x:f>
        <x:v>0</x:v>
      </x:c>
      <x:c r="L40" s="14" t="n">
        <x:f>B40*(1-C40)</x:f>
        <x:v>0</x:v>
      </x:c>
      <x:c r="M40" s="14" t="n">
        <x:f>(1-B40)*C40*G40</x:f>
        <x:v>0</x:v>
      </x:c>
      <x:c r="N40" s="14" t="n">
        <x:f>((1-B40)*C40+B40*(1-C40))*G40</x:f>
        <x:v>0</x:v>
      </x:c>
    </x:row>
    <x:row r="41" ht="23" customHeight="1">
      <x:c r="A41" s="9" t="str">
        <x:v>B1</x:v>
      </x:c>
      <x:c r="B41" s="15" t="n">
        <x:v>0</x:v>
      </x:c>
      <x:c r="C41" s="15" t="n">
        <x:v>1</x:v>
      </x:c>
      <x:c r="D41" s="15" t="n">
        <x:v>0</x:v>
      </x:c>
      <x:c r="E41" s="15" t="n">
        <x:v>1</x:v>
      </x:c>
      <x:c r="F41" s="15" t="n">
        <x:v>0</x:v>
      </x:c>
      <x:c r="G41" s="15" t="n">
        <x:v>1</x:v>
      </x:c>
      <x:c r="H41" s="15" t="n">
        <x:f>IF(((1-B41)*(1-C41)*D41*E41*(1-F41)+(1-B41)*C41*G41+B41*(1-C41)+B41*C41*D41)&gt;0,1,0)</x:f>
        <x:v>1</x:v>
      </x:c>
      <x:c r="I41" s="15" t="n">
        <x:f>IF(((1-B41)*(1-C41)*D41*E41*F41+(1-B41)*C41+B41*(1-C41)*G41+B41*C41*D41)&gt;0,1,0)</x:f>
        <x:v>1</x:v>
      </x:c>
      <x:c r="J41" s="15" t="n">
        <x:f>((1-B41)*C41+B41*(1-C41))*(1-G41)</x:f>
        <x:v>0</x:v>
      </x:c>
      <x:c r="K41" s="15" t="n">
        <x:f>B41*(1-C41)*(1-G41)</x:f>
        <x:v>0</x:v>
      </x:c>
      <x:c r="L41" s="15" t="n">
        <x:f>B41*(1-C41)</x:f>
        <x:v>0</x:v>
      </x:c>
      <x:c r="M41" s="15" t="n">
        <x:f>(1-B41)*C41*G41</x:f>
        <x:v>1</x:v>
      </x:c>
      <x:c r="N41" s="15" t="n">
        <x:f>((1-B41)*C41+B41*(1-C41))*G41</x:f>
        <x:v>1</x:v>
      </x:c>
    </x:row>
    <x:row r="42" ht="23" customHeight="1">
      <x:c r="A42" s="2" t="str">
        <x:v>B1</x:v>
      </x:c>
      <x:c r="B42" s="14" t="n">
        <x:v>0</x:v>
      </x:c>
      <x:c r="C42" s="14" t="n">
        <x:v>1</x:v>
      </x:c>
      <x:c r="D42" s="14" t="n">
        <x:v>0</x:v>
      </x:c>
      <x:c r="E42" s="14" t="n">
        <x:v>1</x:v>
      </x:c>
      <x:c r="F42" s="14" t="n">
        <x:v>1</x:v>
      </x:c>
      <x:c r="G42" s="14" t="n">
        <x:v>0</x:v>
      </x:c>
      <x:c r="H42" s="14" t="n">
        <x:f>IF(((1-B42)*(1-C42)*D42*E42*(1-F42)+(1-B42)*C42*G42+B42*(1-C42)+B42*C42*D42)&gt;0,1,0)</x:f>
        <x:v>0</x:v>
      </x:c>
      <x:c r="I42" s="14" t="n">
        <x:f>IF(((1-B42)*(1-C42)*D42*E42*F42+(1-B42)*C42+B42*(1-C42)*G42+B42*C42*D42)&gt;0,1,0)</x:f>
        <x:v>1</x:v>
      </x:c>
      <x:c r="J42" s="14" t="n">
        <x:f>((1-B42)*C42+B42*(1-C42))*(1-G42)</x:f>
        <x:v>1</x:v>
      </x:c>
      <x:c r="K42" s="14" t="n">
        <x:f>B42*(1-C42)*(1-G42)</x:f>
        <x:v>0</x:v>
      </x:c>
      <x:c r="L42" s="14" t="n">
        <x:f>B42*(1-C42)</x:f>
        <x:v>0</x:v>
      </x:c>
      <x:c r="M42" s="14" t="n">
        <x:f>(1-B42)*C42*G42</x:f>
        <x:v>0</x:v>
      </x:c>
      <x:c r="N42" s="14" t="n">
        <x:f>((1-B42)*C42+B42*(1-C42))*G42</x:f>
        <x:v>0</x:v>
      </x:c>
    </x:row>
    <x:row r="43" ht="23" customHeight="1">
      <x:c r="A43" s="9" t="str">
        <x:v>B1</x:v>
      </x:c>
      <x:c r="B43" s="15" t="n">
        <x:v>0</x:v>
      </x:c>
      <x:c r="C43" s="15" t="n">
        <x:v>1</x:v>
      </x:c>
      <x:c r="D43" s="15" t="n">
        <x:v>0</x:v>
      </x:c>
      <x:c r="E43" s="15" t="n">
        <x:v>1</x:v>
      </x:c>
      <x:c r="F43" s="15" t="n">
        <x:v>1</x:v>
      </x:c>
      <x:c r="G43" s="15" t="n">
        <x:v>1</x:v>
      </x:c>
      <x:c r="H43" s="15" t="n">
        <x:f>IF(((1-B43)*(1-C43)*D43*E43*(1-F43)+(1-B43)*C43*G43+B43*(1-C43)+B43*C43*D43)&gt;0,1,0)</x:f>
        <x:v>1</x:v>
      </x:c>
      <x:c r="I43" s="15" t="n">
        <x:f>IF(((1-B43)*(1-C43)*D43*E43*F43+(1-B43)*C43+B43*(1-C43)*G43+B43*C43*D43)&gt;0,1,0)</x:f>
        <x:v>1</x:v>
      </x:c>
      <x:c r="J43" s="15" t="n">
        <x:f>((1-B43)*C43+B43*(1-C43))*(1-G43)</x:f>
        <x:v>0</x:v>
      </x:c>
      <x:c r="K43" s="15" t="n">
        <x:f>B43*(1-C43)*(1-G43)</x:f>
        <x:v>0</x:v>
      </x:c>
      <x:c r="L43" s="15" t="n">
        <x:f>B43*(1-C43)</x:f>
        <x:v>0</x:v>
      </x:c>
      <x:c r="M43" s="15" t="n">
        <x:f>(1-B43)*C43*G43</x:f>
        <x:v>1</x:v>
      </x:c>
      <x:c r="N43" s="15" t="n">
        <x:f>((1-B43)*C43+B43*(1-C43))*G43</x:f>
        <x:v>1</x:v>
      </x:c>
    </x:row>
    <x:row r="44" ht="23" customHeight="1">
      <x:c r="A44" s="2" t="str">
        <x:v>B1</x:v>
      </x:c>
      <x:c r="B44" s="14" t="n">
        <x:v>0</x:v>
      </x:c>
      <x:c r="C44" s="14" t="n">
        <x:v>1</x:v>
      </x:c>
      <x:c r="D44" s="14" t="n">
        <x:v>1</x:v>
      </x:c>
      <x:c r="E44" s="14" t="n">
        <x:v>0</x:v>
      </x:c>
      <x:c r="F44" s="14" t="n">
        <x:v>0</x:v>
      </x:c>
      <x:c r="G44" s="14" t="n">
        <x:v>0</x:v>
      </x:c>
      <x:c r="H44" s="14" t="n">
        <x:f>IF(((1-B44)*(1-C44)*D44*E44*(1-F44)+(1-B44)*C44*G44+B44*(1-C44)+B44*C44*D44)&gt;0,1,0)</x:f>
        <x:v>0</x:v>
      </x:c>
      <x:c r="I44" s="14" t="n">
        <x:f>IF(((1-B44)*(1-C44)*D44*E44*F44+(1-B44)*C44+B44*(1-C44)*G44+B44*C44*D44)&gt;0,1,0)</x:f>
        <x:v>1</x:v>
      </x:c>
      <x:c r="J44" s="14" t="n">
        <x:f>((1-B44)*C44+B44*(1-C44))*(1-G44)</x:f>
        <x:v>1</x:v>
      </x:c>
      <x:c r="K44" s="14" t="n">
        <x:f>B44*(1-C44)*(1-G44)</x:f>
        <x:v>0</x:v>
      </x:c>
      <x:c r="L44" s="14" t="n">
        <x:f>B44*(1-C44)</x:f>
        <x:v>0</x:v>
      </x:c>
      <x:c r="M44" s="14" t="n">
        <x:f>(1-B44)*C44*G44</x:f>
        <x:v>0</x:v>
      </x:c>
      <x:c r="N44" s="14" t="n">
        <x:f>((1-B44)*C44+B44*(1-C44))*G44</x:f>
        <x:v>0</x:v>
      </x:c>
    </x:row>
    <x:row r="45" ht="23" customHeight="1">
      <x:c r="A45" s="9" t="str">
        <x:v>B1</x:v>
      </x:c>
      <x:c r="B45" s="15" t="n">
        <x:v>0</x:v>
      </x:c>
      <x:c r="C45" s="15" t="n">
        <x:v>1</x:v>
      </x:c>
      <x:c r="D45" s="15" t="n">
        <x:v>1</x:v>
      </x:c>
      <x:c r="E45" s="15" t="n">
        <x:v>0</x:v>
      </x:c>
      <x:c r="F45" s="15" t="n">
        <x:v>0</x:v>
      </x:c>
      <x:c r="G45" s="15" t="n">
        <x:v>1</x:v>
      </x:c>
      <x:c r="H45" s="15" t="n">
        <x:f>IF(((1-B45)*(1-C45)*D45*E45*(1-F45)+(1-B45)*C45*G45+B45*(1-C45)+B45*C45*D45)&gt;0,1,0)</x:f>
        <x:v>1</x:v>
      </x:c>
      <x:c r="I45" s="15" t="n">
        <x:f>IF(((1-B45)*(1-C45)*D45*E45*F45+(1-B45)*C45+B45*(1-C45)*G45+B45*C45*D45)&gt;0,1,0)</x:f>
        <x:v>1</x:v>
      </x:c>
      <x:c r="J45" s="15" t="n">
        <x:f>((1-B45)*C45+B45*(1-C45))*(1-G45)</x:f>
        <x:v>0</x:v>
      </x:c>
      <x:c r="K45" s="15" t="n">
        <x:f>B45*(1-C45)*(1-G45)</x:f>
        <x:v>0</x:v>
      </x:c>
      <x:c r="L45" s="15" t="n">
        <x:f>B45*(1-C45)</x:f>
        <x:v>0</x:v>
      </x:c>
      <x:c r="M45" s="15" t="n">
        <x:f>(1-B45)*C45*G45</x:f>
        <x:v>1</x:v>
      </x:c>
      <x:c r="N45" s="15" t="n">
        <x:f>((1-B45)*C45+B45*(1-C45))*G45</x:f>
        <x:v>1</x:v>
      </x:c>
    </x:row>
    <x:row r="46" ht="23" customHeight="1">
      <x:c r="A46" s="2" t="str">
        <x:v>B1</x:v>
      </x:c>
      <x:c r="B46" s="14" t="n">
        <x:v>0</x:v>
      </x:c>
      <x:c r="C46" s="14" t="n">
        <x:v>1</x:v>
      </x:c>
      <x:c r="D46" s="14" t="n">
        <x:v>1</x:v>
      </x:c>
      <x:c r="E46" s="14" t="n">
        <x:v>0</x:v>
      </x:c>
      <x:c r="F46" s="14" t="n">
        <x:v>1</x:v>
      </x:c>
      <x:c r="G46" s="14" t="n">
        <x:v>0</x:v>
      </x:c>
      <x:c r="H46" s="14" t="n">
        <x:f>IF(((1-B46)*(1-C46)*D46*E46*(1-F46)+(1-B46)*C46*G46+B46*(1-C46)+B46*C46*D46)&gt;0,1,0)</x:f>
        <x:v>0</x:v>
      </x:c>
      <x:c r="I46" s="14" t="n">
        <x:f>IF(((1-B46)*(1-C46)*D46*E46*F46+(1-B46)*C46+B46*(1-C46)*G46+B46*C46*D46)&gt;0,1,0)</x:f>
        <x:v>1</x:v>
      </x:c>
      <x:c r="J46" s="14" t="n">
        <x:f>((1-B46)*C46+B46*(1-C46))*(1-G46)</x:f>
        <x:v>1</x:v>
      </x:c>
      <x:c r="K46" s="14" t="n">
        <x:f>B46*(1-C46)*(1-G46)</x:f>
        <x:v>0</x:v>
      </x:c>
      <x:c r="L46" s="14" t="n">
        <x:f>B46*(1-C46)</x:f>
        <x:v>0</x:v>
      </x:c>
      <x:c r="M46" s="14" t="n">
        <x:f>(1-B46)*C46*G46</x:f>
        <x:v>0</x:v>
      </x:c>
      <x:c r="N46" s="14" t="n">
        <x:f>((1-B46)*C46+B46*(1-C46))*G46</x:f>
        <x:v>0</x:v>
      </x:c>
    </x:row>
    <x:row r="47" ht="23" customHeight="1">
      <x:c r="A47" s="9" t="str">
        <x:v>B1</x:v>
      </x:c>
      <x:c r="B47" s="15" t="n">
        <x:v>0</x:v>
      </x:c>
      <x:c r="C47" s="15" t="n">
        <x:v>1</x:v>
      </x:c>
      <x:c r="D47" s="15" t="n">
        <x:v>1</x:v>
      </x:c>
      <x:c r="E47" s="15" t="n">
        <x:v>0</x:v>
      </x:c>
      <x:c r="F47" s="15" t="n">
        <x:v>1</x:v>
      </x:c>
      <x:c r="G47" s="15" t="n">
        <x:v>1</x:v>
      </x:c>
      <x:c r="H47" s="15" t="n">
        <x:f>IF(((1-B47)*(1-C47)*D47*E47*(1-F47)+(1-B47)*C47*G47+B47*(1-C47)+B47*C47*D47)&gt;0,1,0)</x:f>
        <x:v>1</x:v>
      </x:c>
      <x:c r="I47" s="15" t="n">
        <x:f>IF(((1-B47)*(1-C47)*D47*E47*F47+(1-B47)*C47+B47*(1-C47)*G47+B47*C47*D47)&gt;0,1,0)</x:f>
        <x:v>1</x:v>
      </x:c>
      <x:c r="J47" s="15" t="n">
        <x:f>((1-B47)*C47+B47*(1-C47))*(1-G47)</x:f>
        <x:v>0</x:v>
      </x:c>
      <x:c r="K47" s="15" t="n">
        <x:f>B47*(1-C47)*(1-G47)</x:f>
        <x:v>0</x:v>
      </x:c>
      <x:c r="L47" s="15" t="n">
        <x:f>B47*(1-C47)</x:f>
        <x:v>0</x:v>
      </x:c>
      <x:c r="M47" s="15" t="n">
        <x:f>(1-B47)*C47*G47</x:f>
        <x:v>1</x:v>
      </x:c>
      <x:c r="N47" s="15" t="n">
        <x:f>((1-B47)*C47+B47*(1-C47))*G47</x:f>
        <x:v>1</x:v>
      </x:c>
    </x:row>
    <x:row r="48" ht="23" customHeight="1">
      <x:c r="A48" s="2" t="str">
        <x:v>B1</x:v>
      </x:c>
      <x:c r="B48" s="14" t="n">
        <x:v>0</x:v>
      </x:c>
      <x:c r="C48" s="14" t="n">
        <x:v>1</x:v>
      </x:c>
      <x:c r="D48" s="14" t="n">
        <x:v>1</x:v>
      </x:c>
      <x:c r="E48" s="14" t="n">
        <x:v>1</x:v>
      </x:c>
      <x:c r="F48" s="14" t="n">
        <x:v>0</x:v>
      </x:c>
      <x:c r="G48" s="14" t="n">
        <x:v>0</x:v>
      </x:c>
      <x:c r="H48" s="14" t="n">
        <x:f>IF(((1-B48)*(1-C48)*D48*E48*(1-F48)+(1-B48)*C48*G48+B48*(1-C48)+B48*C48*D48)&gt;0,1,0)</x:f>
        <x:v>0</x:v>
      </x:c>
      <x:c r="I48" s="14" t="n">
        <x:f>IF(((1-B48)*(1-C48)*D48*E48*F48+(1-B48)*C48+B48*(1-C48)*G48+B48*C48*D48)&gt;0,1,0)</x:f>
        <x:v>1</x:v>
      </x:c>
      <x:c r="J48" s="14" t="n">
        <x:f>((1-B48)*C48+B48*(1-C48))*(1-G48)</x:f>
        <x:v>1</x:v>
      </x:c>
      <x:c r="K48" s="14" t="n">
        <x:f>B48*(1-C48)*(1-G48)</x:f>
        <x:v>0</x:v>
      </x:c>
      <x:c r="L48" s="14" t="n">
        <x:f>B48*(1-C48)</x:f>
        <x:v>0</x:v>
      </x:c>
      <x:c r="M48" s="14" t="n">
        <x:f>(1-B48)*C48*G48</x:f>
        <x:v>0</x:v>
      </x:c>
      <x:c r="N48" s="14" t="n">
        <x:f>((1-B48)*C48+B48*(1-C48))*G48</x:f>
        <x:v>0</x:v>
      </x:c>
    </x:row>
    <x:row r="49" ht="23" customHeight="1">
      <x:c r="A49" s="9" t="str">
        <x:v>B1</x:v>
      </x:c>
      <x:c r="B49" s="15" t="n">
        <x:v>0</x:v>
      </x:c>
      <x:c r="C49" s="15" t="n">
        <x:v>1</x:v>
      </x:c>
      <x:c r="D49" s="15" t="n">
        <x:v>1</x:v>
      </x:c>
      <x:c r="E49" s="15" t="n">
        <x:v>1</x:v>
      </x:c>
      <x:c r="F49" s="15" t="n">
        <x:v>0</x:v>
      </x:c>
      <x:c r="G49" s="15" t="n">
        <x:v>1</x:v>
      </x:c>
      <x:c r="H49" s="15" t="n">
        <x:f>IF(((1-B49)*(1-C49)*D49*E49*(1-F49)+(1-B49)*C49*G49+B49*(1-C49)+B49*C49*D49)&gt;0,1,0)</x:f>
        <x:v>1</x:v>
      </x:c>
      <x:c r="I49" s="15" t="n">
        <x:f>IF(((1-B49)*(1-C49)*D49*E49*F49+(1-B49)*C49+B49*(1-C49)*G49+B49*C49*D49)&gt;0,1,0)</x:f>
        <x:v>1</x:v>
      </x:c>
      <x:c r="J49" s="15" t="n">
        <x:f>((1-B49)*C49+B49*(1-C49))*(1-G49)</x:f>
        <x:v>0</x:v>
      </x:c>
      <x:c r="K49" s="15" t="n">
        <x:f>B49*(1-C49)*(1-G49)</x:f>
        <x:v>0</x:v>
      </x:c>
      <x:c r="L49" s="15" t="n">
        <x:f>B49*(1-C49)</x:f>
        <x:v>0</x:v>
      </x:c>
      <x:c r="M49" s="15" t="n">
        <x:f>(1-B49)*C49*G49</x:f>
        <x:v>1</x:v>
      </x:c>
      <x:c r="N49" s="15" t="n">
        <x:f>((1-B49)*C49+B49*(1-C49))*G49</x:f>
        <x:v>1</x:v>
      </x:c>
    </x:row>
    <x:row r="50" ht="23" customHeight="1">
      <x:c r="A50" s="2" t="str">
        <x:v>B1</x:v>
      </x:c>
      <x:c r="B50" s="14" t="n">
        <x:v>0</x:v>
      </x:c>
      <x:c r="C50" s="14" t="n">
        <x:v>1</x:v>
      </x:c>
      <x:c r="D50" s="14" t="n">
        <x:v>1</x:v>
      </x:c>
      <x:c r="E50" s="14" t="n">
        <x:v>1</x:v>
      </x:c>
      <x:c r="F50" s="14" t="n">
        <x:v>1</x:v>
      </x:c>
      <x:c r="G50" s="14" t="n">
        <x:v>0</x:v>
      </x:c>
      <x:c r="H50" s="14" t="n">
        <x:f>IF(((1-B50)*(1-C50)*D50*E50*(1-F50)+(1-B50)*C50*G50+B50*(1-C50)+B50*C50*D50)&gt;0,1,0)</x:f>
        <x:v>0</x:v>
      </x:c>
      <x:c r="I50" s="14" t="n">
        <x:f>IF(((1-B50)*(1-C50)*D50*E50*F50+(1-B50)*C50+B50*(1-C50)*G50+B50*C50*D50)&gt;0,1,0)</x:f>
        <x:v>1</x:v>
      </x:c>
      <x:c r="J50" s="14" t="n">
        <x:f>((1-B50)*C50+B50*(1-C50))*(1-G50)</x:f>
        <x:v>1</x:v>
      </x:c>
      <x:c r="K50" s="14" t="n">
        <x:f>B50*(1-C50)*(1-G50)</x:f>
        <x:v>0</x:v>
      </x:c>
      <x:c r="L50" s="14" t="n">
        <x:f>B50*(1-C50)</x:f>
        <x:v>0</x:v>
      </x:c>
      <x:c r="M50" s="14" t="n">
        <x:f>(1-B50)*C50*G50</x:f>
        <x:v>0</x:v>
      </x:c>
      <x:c r="N50" s="14" t="n">
        <x:f>((1-B50)*C50+B50*(1-C50))*G50</x:f>
        <x:v>0</x:v>
      </x:c>
    </x:row>
    <x:row r="51" ht="23" customHeight="1">
      <x:c r="A51" s="9" t="str">
        <x:v>B1</x:v>
      </x:c>
      <x:c r="B51" s="15" t="n">
        <x:v>0</x:v>
      </x:c>
      <x:c r="C51" s="15" t="n">
        <x:v>1</x:v>
      </x:c>
      <x:c r="D51" s="15" t="n">
        <x:v>1</x:v>
      </x:c>
      <x:c r="E51" s="15" t="n">
        <x:v>1</x:v>
      </x:c>
      <x:c r="F51" s="15" t="n">
        <x:v>1</x:v>
      </x:c>
      <x:c r="G51" s="15" t="n">
        <x:v>1</x:v>
      </x:c>
      <x:c r="H51" s="15" t="n">
        <x:f>IF(((1-B51)*(1-C51)*D51*E51*(1-F51)+(1-B51)*C51*G51+B51*(1-C51)+B51*C51*D51)&gt;0,1,0)</x:f>
        <x:v>1</x:v>
      </x:c>
      <x:c r="I51" s="15" t="n">
        <x:f>IF(((1-B51)*(1-C51)*D51*E51*F51+(1-B51)*C51+B51*(1-C51)*G51+B51*C51*D51)&gt;0,1,0)</x:f>
        <x:v>1</x:v>
      </x:c>
      <x:c r="J51" s="15" t="n">
        <x:f>((1-B51)*C51+B51*(1-C51))*(1-G51)</x:f>
        <x:v>0</x:v>
      </x:c>
      <x:c r="K51" s="15" t="n">
        <x:f>B51*(1-C51)*(1-G51)</x:f>
        <x:v>0</x:v>
      </x:c>
      <x:c r="L51" s="15" t="n">
        <x:f>B51*(1-C51)</x:f>
        <x:v>0</x:v>
      </x:c>
      <x:c r="M51" s="15" t="n">
        <x:f>(1-B51)*C51*G51</x:f>
        <x:v>1</x:v>
      </x:c>
      <x:c r="N51" s="15" t="n">
        <x:f>((1-B51)*C51+B51*(1-C51))*G51</x:f>
        <x:v>1</x:v>
      </x:c>
    </x:row>
    <x:row r="52" ht="23" customHeight="1">
      <x:c r="A52" s="2" t="str">
        <x:v>B2</x:v>
      </x:c>
      <x:c r="B52" s="14" t="n">
        <x:v>1</x:v>
      </x:c>
      <x:c r="C52" s="14" t="n">
        <x:v>0</x:v>
      </x:c>
      <x:c r="D52" s="14" t="n">
        <x:v>0</x:v>
      </x:c>
      <x:c r="E52" s="14" t="n">
        <x:v>0</x:v>
      </x:c>
      <x:c r="F52" s="14" t="n">
        <x:v>0</x:v>
      </x:c>
      <x:c r="G52" s="14" t="n">
        <x:v>0</x:v>
      </x:c>
      <x:c r="H52" s="14" t="n">
        <x:f>IF(((1-B52)*(1-C52)*D52*E52*(1-F52)+(1-B52)*C52*G52+B52*(1-C52)+B52*C52*D52)&gt;0,1,0)</x:f>
        <x:v>1</x:v>
      </x:c>
      <x:c r="I52" s="14" t="n">
        <x:f>IF(((1-B52)*(1-C52)*D52*E52*F52+(1-B52)*C52+B52*(1-C52)*G52+B52*C52*D52)&gt;0,1,0)</x:f>
        <x:v>0</x:v>
      </x:c>
      <x:c r="J52" s="14" t="n">
        <x:f>((1-B52)*C52+B52*(1-C52))*(1-G52)</x:f>
        <x:v>1</x:v>
      </x:c>
      <x:c r="K52" s="14" t="n">
        <x:f>B52*(1-C52)*(1-G52)</x:f>
        <x:v>1</x:v>
      </x:c>
      <x:c r="L52" s="14" t="n">
        <x:f>B52*(1-C52)</x:f>
        <x:v>1</x:v>
      </x:c>
      <x:c r="M52" s="14" t="n">
        <x:f>(1-B52)*C52*G52</x:f>
        <x:v>0</x:v>
      </x:c>
      <x:c r="N52" s="14" t="n">
        <x:f>((1-B52)*C52+B52*(1-C52))*G52</x:f>
        <x:v>0</x:v>
      </x:c>
    </x:row>
    <x:row r="53" ht="23" customHeight="1">
      <x:c r="A53" s="9" t="str">
        <x:v>B2</x:v>
      </x:c>
      <x:c r="B53" s="15" t="n">
        <x:v>1</x:v>
      </x:c>
      <x:c r="C53" s="15" t="n">
        <x:v>0</x:v>
      </x:c>
      <x:c r="D53" s="15" t="n">
        <x:v>0</x:v>
      </x:c>
      <x:c r="E53" s="15" t="n">
        <x:v>0</x:v>
      </x:c>
      <x:c r="F53" s="15" t="n">
        <x:v>0</x:v>
      </x:c>
      <x:c r="G53" s="15" t="n">
        <x:v>1</x:v>
      </x:c>
      <x:c r="H53" s="15" t="n">
        <x:f>IF(((1-B53)*(1-C53)*D53*E53*(1-F53)+(1-B53)*C53*G53+B53*(1-C53)+B53*C53*D53)&gt;0,1,0)</x:f>
        <x:v>1</x:v>
      </x:c>
      <x:c r="I53" s="15" t="n">
        <x:f>IF(((1-B53)*(1-C53)*D53*E53*F53+(1-B53)*C53+B53*(1-C53)*G53+B53*C53*D53)&gt;0,1,0)</x:f>
        <x:v>1</x:v>
      </x:c>
      <x:c r="J53" s="15" t="n">
        <x:f>((1-B53)*C53+B53*(1-C53))*(1-G53)</x:f>
        <x:v>0</x:v>
      </x:c>
      <x:c r="K53" s="15" t="n">
        <x:f>B53*(1-C53)*(1-G53)</x:f>
        <x:v>0</x:v>
      </x:c>
      <x:c r="L53" s="15" t="n">
        <x:f>B53*(1-C53)</x:f>
        <x:v>1</x:v>
      </x:c>
      <x:c r="M53" s="15" t="n">
        <x:f>(1-B53)*C53*G53</x:f>
        <x:v>0</x:v>
      </x:c>
      <x:c r="N53" s="15" t="n">
        <x:f>((1-B53)*C53+B53*(1-C53))*G53</x:f>
        <x:v>1</x:v>
      </x:c>
    </x:row>
    <x:row r="54" ht="23" customHeight="1">
      <x:c r="A54" s="2" t="str">
        <x:v>B2</x:v>
      </x:c>
      <x:c r="B54" s="14" t="n">
        <x:v>1</x:v>
      </x:c>
      <x:c r="C54" s="14" t="n">
        <x:v>0</x:v>
      </x:c>
      <x:c r="D54" s="14" t="n">
        <x:v>0</x:v>
      </x:c>
      <x:c r="E54" s="14" t="n">
        <x:v>0</x:v>
      </x:c>
      <x:c r="F54" s="14" t="n">
        <x:v>1</x:v>
      </x:c>
      <x:c r="G54" s="14" t="n">
        <x:v>0</x:v>
      </x:c>
      <x:c r="H54" s="14" t="n">
        <x:f>IF(((1-B54)*(1-C54)*D54*E54*(1-F54)+(1-B54)*C54*G54+B54*(1-C54)+B54*C54*D54)&gt;0,1,0)</x:f>
        <x:v>1</x:v>
      </x:c>
      <x:c r="I54" s="14" t="n">
        <x:f>IF(((1-B54)*(1-C54)*D54*E54*F54+(1-B54)*C54+B54*(1-C54)*G54+B54*C54*D54)&gt;0,1,0)</x:f>
        <x:v>0</x:v>
      </x:c>
      <x:c r="J54" s="14" t="n">
        <x:f>((1-B54)*C54+B54*(1-C54))*(1-G54)</x:f>
        <x:v>1</x:v>
      </x:c>
      <x:c r="K54" s="14" t="n">
        <x:f>B54*(1-C54)*(1-G54)</x:f>
        <x:v>1</x:v>
      </x:c>
      <x:c r="L54" s="14" t="n">
        <x:f>B54*(1-C54)</x:f>
        <x:v>1</x:v>
      </x:c>
      <x:c r="M54" s="14" t="n">
        <x:f>(1-B54)*C54*G54</x:f>
        <x:v>0</x:v>
      </x:c>
      <x:c r="N54" s="14" t="n">
        <x:f>((1-B54)*C54+B54*(1-C54))*G54</x:f>
        <x:v>0</x:v>
      </x:c>
    </x:row>
    <x:row r="55" ht="23" customHeight="1">
      <x:c r="A55" s="9" t="str">
        <x:v>B2</x:v>
      </x:c>
      <x:c r="B55" s="15" t="n">
        <x:v>1</x:v>
      </x:c>
      <x:c r="C55" s="15" t="n">
        <x:v>0</x:v>
      </x:c>
      <x:c r="D55" s="15" t="n">
        <x:v>0</x:v>
      </x:c>
      <x:c r="E55" s="15" t="n">
        <x:v>0</x:v>
      </x:c>
      <x:c r="F55" s="15" t="n">
        <x:v>1</x:v>
      </x:c>
      <x:c r="G55" s="15" t="n">
        <x:v>1</x:v>
      </x:c>
      <x:c r="H55" s="15" t="n">
        <x:f>IF(((1-B55)*(1-C55)*D55*E55*(1-F55)+(1-B55)*C55*G55+B55*(1-C55)+B55*C55*D55)&gt;0,1,0)</x:f>
        <x:v>1</x:v>
      </x:c>
      <x:c r="I55" s="15" t="n">
        <x:f>IF(((1-B55)*(1-C55)*D55*E55*F55+(1-B55)*C55+B55*(1-C55)*G55+B55*C55*D55)&gt;0,1,0)</x:f>
        <x:v>1</x:v>
      </x:c>
      <x:c r="J55" s="15" t="n">
        <x:f>((1-B55)*C55+B55*(1-C55))*(1-G55)</x:f>
        <x:v>0</x:v>
      </x:c>
      <x:c r="K55" s="15" t="n">
        <x:f>B55*(1-C55)*(1-G55)</x:f>
        <x:v>0</x:v>
      </x:c>
      <x:c r="L55" s="15" t="n">
        <x:f>B55*(1-C55)</x:f>
        <x:v>1</x:v>
      </x:c>
      <x:c r="M55" s="15" t="n">
        <x:f>(1-B55)*C55*G55</x:f>
        <x:v>0</x:v>
      </x:c>
      <x:c r="N55" s="15" t="n">
        <x:f>((1-B55)*C55+B55*(1-C55))*G55</x:f>
        <x:v>1</x:v>
      </x:c>
    </x:row>
    <x:row r="56" ht="23" customHeight="1">
      <x:c r="A56" s="2" t="str">
        <x:v>B2</x:v>
      </x:c>
      <x:c r="B56" s="14" t="n">
        <x:v>1</x:v>
      </x:c>
      <x:c r="C56" s="14" t="n">
        <x:v>0</x:v>
      </x:c>
      <x:c r="D56" s="14" t="n">
        <x:v>0</x:v>
      </x:c>
      <x:c r="E56" s="14" t="n">
        <x:v>1</x:v>
      </x:c>
      <x:c r="F56" s="14" t="n">
        <x:v>0</x:v>
      </x:c>
      <x:c r="G56" s="14" t="n">
        <x:v>0</x:v>
      </x:c>
      <x:c r="H56" s="14" t="n">
        <x:f>IF(((1-B56)*(1-C56)*D56*E56*(1-F56)+(1-B56)*C56*G56+B56*(1-C56)+B56*C56*D56)&gt;0,1,0)</x:f>
        <x:v>1</x:v>
      </x:c>
      <x:c r="I56" s="14" t="n">
        <x:f>IF(((1-B56)*(1-C56)*D56*E56*F56+(1-B56)*C56+B56*(1-C56)*G56+B56*C56*D56)&gt;0,1,0)</x:f>
        <x:v>0</x:v>
      </x:c>
      <x:c r="J56" s="14" t="n">
        <x:f>((1-B56)*C56+B56*(1-C56))*(1-G56)</x:f>
        <x:v>1</x:v>
      </x:c>
      <x:c r="K56" s="14" t="n">
        <x:f>B56*(1-C56)*(1-G56)</x:f>
        <x:v>1</x:v>
      </x:c>
      <x:c r="L56" s="14" t="n">
        <x:f>B56*(1-C56)</x:f>
        <x:v>1</x:v>
      </x:c>
      <x:c r="M56" s="14" t="n">
        <x:f>(1-B56)*C56*G56</x:f>
        <x:v>0</x:v>
      </x:c>
      <x:c r="N56" s="14" t="n">
        <x:f>((1-B56)*C56+B56*(1-C56))*G56</x:f>
        <x:v>0</x:v>
      </x:c>
    </x:row>
    <x:row r="57" ht="23" customHeight="1">
      <x:c r="A57" s="9" t="str">
        <x:v>B2</x:v>
      </x:c>
      <x:c r="B57" s="15" t="n">
        <x:v>1</x:v>
      </x:c>
      <x:c r="C57" s="15" t="n">
        <x:v>0</x:v>
      </x:c>
      <x:c r="D57" s="15" t="n">
        <x:v>0</x:v>
      </x:c>
      <x:c r="E57" s="15" t="n">
        <x:v>1</x:v>
      </x:c>
      <x:c r="F57" s="15" t="n">
        <x:v>0</x:v>
      </x:c>
      <x:c r="G57" s="15" t="n">
        <x:v>1</x:v>
      </x:c>
      <x:c r="H57" s="15" t="n">
        <x:f>IF(((1-B57)*(1-C57)*D57*E57*(1-F57)+(1-B57)*C57*G57+B57*(1-C57)+B57*C57*D57)&gt;0,1,0)</x:f>
        <x:v>1</x:v>
      </x:c>
      <x:c r="I57" s="15" t="n">
        <x:f>IF(((1-B57)*(1-C57)*D57*E57*F57+(1-B57)*C57+B57*(1-C57)*G57+B57*C57*D57)&gt;0,1,0)</x:f>
        <x:v>1</x:v>
      </x:c>
      <x:c r="J57" s="15" t="n">
        <x:f>((1-B57)*C57+B57*(1-C57))*(1-G57)</x:f>
        <x:v>0</x:v>
      </x:c>
      <x:c r="K57" s="15" t="n">
        <x:f>B57*(1-C57)*(1-G57)</x:f>
        <x:v>0</x:v>
      </x:c>
      <x:c r="L57" s="15" t="n">
        <x:f>B57*(1-C57)</x:f>
        <x:v>1</x:v>
      </x:c>
      <x:c r="M57" s="15" t="n">
        <x:f>(1-B57)*C57*G57</x:f>
        <x:v>0</x:v>
      </x:c>
      <x:c r="N57" s="15" t="n">
        <x:f>((1-B57)*C57+B57*(1-C57))*G57</x:f>
        <x:v>1</x:v>
      </x:c>
    </x:row>
    <x:row r="58" ht="23" customHeight="1">
      <x:c r="A58" s="2" t="str">
        <x:v>B2</x:v>
      </x:c>
      <x:c r="B58" s="14" t="n">
        <x:v>1</x:v>
      </x:c>
      <x:c r="C58" s="14" t="n">
        <x:v>0</x:v>
      </x:c>
      <x:c r="D58" s="14" t="n">
        <x:v>0</x:v>
      </x:c>
      <x:c r="E58" s="14" t="n">
        <x:v>1</x:v>
      </x:c>
      <x:c r="F58" s="14" t="n">
        <x:v>1</x:v>
      </x:c>
      <x:c r="G58" s="14" t="n">
        <x:v>0</x:v>
      </x:c>
      <x:c r="H58" s="14" t="n">
        <x:f>IF(((1-B58)*(1-C58)*D58*E58*(1-F58)+(1-B58)*C58*G58+B58*(1-C58)+B58*C58*D58)&gt;0,1,0)</x:f>
        <x:v>1</x:v>
      </x:c>
      <x:c r="I58" s="14" t="n">
        <x:f>IF(((1-B58)*(1-C58)*D58*E58*F58+(1-B58)*C58+B58*(1-C58)*G58+B58*C58*D58)&gt;0,1,0)</x:f>
        <x:v>0</x:v>
      </x:c>
      <x:c r="J58" s="14" t="n">
        <x:f>((1-B58)*C58+B58*(1-C58))*(1-G58)</x:f>
        <x:v>1</x:v>
      </x:c>
      <x:c r="K58" s="14" t="n">
        <x:f>B58*(1-C58)*(1-G58)</x:f>
        <x:v>1</x:v>
      </x:c>
      <x:c r="L58" s="14" t="n">
        <x:f>B58*(1-C58)</x:f>
        <x:v>1</x:v>
      </x:c>
      <x:c r="M58" s="14" t="n">
        <x:f>(1-B58)*C58*G58</x:f>
        <x:v>0</x:v>
      </x:c>
      <x:c r="N58" s="14" t="n">
        <x:f>((1-B58)*C58+B58*(1-C58))*G58</x:f>
        <x:v>0</x:v>
      </x:c>
    </x:row>
    <x:row r="59" ht="23" customHeight="1">
      <x:c r="A59" s="9" t="str">
        <x:v>B2</x:v>
      </x:c>
      <x:c r="B59" s="15" t="n">
        <x:v>1</x:v>
      </x:c>
      <x:c r="C59" s="15" t="n">
        <x:v>0</x:v>
      </x:c>
      <x:c r="D59" s="15" t="n">
        <x:v>0</x:v>
      </x:c>
      <x:c r="E59" s="15" t="n">
        <x:v>1</x:v>
      </x:c>
      <x:c r="F59" s="15" t="n">
        <x:v>1</x:v>
      </x:c>
      <x:c r="G59" s="15" t="n">
        <x:v>1</x:v>
      </x:c>
      <x:c r="H59" s="15" t="n">
        <x:f>IF(((1-B59)*(1-C59)*D59*E59*(1-F59)+(1-B59)*C59*G59+B59*(1-C59)+B59*C59*D59)&gt;0,1,0)</x:f>
        <x:v>1</x:v>
      </x:c>
      <x:c r="I59" s="15" t="n">
        <x:f>IF(((1-B59)*(1-C59)*D59*E59*F59+(1-B59)*C59+B59*(1-C59)*G59+B59*C59*D59)&gt;0,1,0)</x:f>
        <x:v>1</x:v>
      </x:c>
      <x:c r="J59" s="15" t="n">
        <x:f>((1-B59)*C59+B59*(1-C59))*(1-G59)</x:f>
        <x:v>0</x:v>
      </x:c>
      <x:c r="K59" s="15" t="n">
        <x:f>B59*(1-C59)*(1-G59)</x:f>
        <x:v>0</x:v>
      </x:c>
      <x:c r="L59" s="15" t="n">
        <x:f>B59*(1-C59)</x:f>
        <x:v>1</x:v>
      </x:c>
      <x:c r="M59" s="15" t="n">
        <x:f>(1-B59)*C59*G59</x:f>
        <x:v>0</x:v>
      </x:c>
      <x:c r="N59" s="15" t="n">
        <x:f>((1-B59)*C59+B59*(1-C59))*G59</x:f>
        <x:v>1</x:v>
      </x:c>
    </x:row>
    <x:row r="60" ht="23" customHeight="1">
      <x:c r="A60" s="2" t="str">
        <x:v>B2</x:v>
      </x:c>
      <x:c r="B60" s="14" t="n">
        <x:v>1</x:v>
      </x:c>
      <x:c r="C60" s="14" t="n">
        <x:v>0</x:v>
      </x:c>
      <x:c r="D60" s="14" t="n">
        <x:v>1</x:v>
      </x:c>
      <x:c r="E60" s="14" t="n">
        <x:v>0</x:v>
      </x:c>
      <x:c r="F60" s="14" t="n">
        <x:v>0</x:v>
      </x:c>
      <x:c r="G60" s="14" t="n">
        <x:v>0</x:v>
      </x:c>
      <x:c r="H60" s="14" t="n">
        <x:f>IF(((1-B60)*(1-C60)*D60*E60*(1-F60)+(1-B60)*C60*G60+B60*(1-C60)+B60*C60*D60)&gt;0,1,0)</x:f>
        <x:v>1</x:v>
      </x:c>
      <x:c r="I60" s="14" t="n">
        <x:f>IF(((1-B60)*(1-C60)*D60*E60*F60+(1-B60)*C60+B60*(1-C60)*G60+B60*C60*D60)&gt;0,1,0)</x:f>
        <x:v>0</x:v>
      </x:c>
      <x:c r="J60" s="14" t="n">
        <x:f>((1-B60)*C60+B60*(1-C60))*(1-G60)</x:f>
        <x:v>1</x:v>
      </x:c>
      <x:c r="K60" s="14" t="n">
        <x:f>B60*(1-C60)*(1-G60)</x:f>
        <x:v>1</x:v>
      </x:c>
      <x:c r="L60" s="14" t="n">
        <x:f>B60*(1-C60)</x:f>
        <x:v>1</x:v>
      </x:c>
      <x:c r="M60" s="14" t="n">
        <x:f>(1-B60)*C60*G60</x:f>
        <x:v>0</x:v>
      </x:c>
      <x:c r="N60" s="14" t="n">
        <x:f>((1-B60)*C60+B60*(1-C60))*G60</x:f>
        <x:v>0</x:v>
      </x:c>
    </x:row>
    <x:row r="61" ht="23" customHeight="1">
      <x:c r="A61" s="9" t="str">
        <x:v>B2</x:v>
      </x:c>
      <x:c r="B61" s="15" t="n">
        <x:v>1</x:v>
      </x:c>
      <x:c r="C61" s="15" t="n">
        <x:v>0</x:v>
      </x:c>
      <x:c r="D61" s="15" t="n">
        <x:v>1</x:v>
      </x:c>
      <x:c r="E61" s="15" t="n">
        <x:v>0</x:v>
      </x:c>
      <x:c r="F61" s="15" t="n">
        <x:v>0</x:v>
      </x:c>
      <x:c r="G61" s="15" t="n">
        <x:v>1</x:v>
      </x:c>
      <x:c r="H61" s="15" t="n">
        <x:f>IF(((1-B61)*(1-C61)*D61*E61*(1-F61)+(1-B61)*C61*G61+B61*(1-C61)+B61*C61*D61)&gt;0,1,0)</x:f>
        <x:v>1</x:v>
      </x:c>
      <x:c r="I61" s="15" t="n">
        <x:f>IF(((1-B61)*(1-C61)*D61*E61*F61+(1-B61)*C61+B61*(1-C61)*G61+B61*C61*D61)&gt;0,1,0)</x:f>
        <x:v>1</x:v>
      </x:c>
      <x:c r="J61" s="15" t="n">
        <x:f>((1-B61)*C61+B61*(1-C61))*(1-G61)</x:f>
        <x:v>0</x:v>
      </x:c>
      <x:c r="K61" s="15" t="n">
        <x:f>B61*(1-C61)*(1-G61)</x:f>
        <x:v>0</x:v>
      </x:c>
      <x:c r="L61" s="15" t="n">
        <x:f>B61*(1-C61)</x:f>
        <x:v>1</x:v>
      </x:c>
      <x:c r="M61" s="15" t="n">
        <x:f>(1-B61)*C61*G61</x:f>
        <x:v>0</x:v>
      </x:c>
      <x:c r="N61" s="15" t="n">
        <x:f>((1-B61)*C61+B61*(1-C61))*G61</x:f>
        <x:v>1</x:v>
      </x:c>
    </x:row>
    <x:row r="62" ht="23" customHeight="1">
      <x:c r="A62" s="2" t="str">
        <x:v>B2</x:v>
      </x:c>
      <x:c r="B62" s="14" t="n">
        <x:v>1</x:v>
      </x:c>
      <x:c r="C62" s="14" t="n">
        <x:v>0</x:v>
      </x:c>
      <x:c r="D62" s="14" t="n">
        <x:v>1</x:v>
      </x:c>
      <x:c r="E62" s="14" t="n">
        <x:v>0</x:v>
      </x:c>
      <x:c r="F62" s="14" t="n">
        <x:v>1</x:v>
      </x:c>
      <x:c r="G62" s="14" t="n">
        <x:v>0</x:v>
      </x:c>
      <x:c r="H62" s="14" t="n">
        <x:f>IF(((1-B62)*(1-C62)*D62*E62*(1-F62)+(1-B62)*C62*G62+B62*(1-C62)+B62*C62*D62)&gt;0,1,0)</x:f>
        <x:v>1</x:v>
      </x:c>
      <x:c r="I62" s="14" t="n">
        <x:f>IF(((1-B62)*(1-C62)*D62*E62*F62+(1-B62)*C62+B62*(1-C62)*G62+B62*C62*D62)&gt;0,1,0)</x:f>
        <x:v>0</x:v>
      </x:c>
      <x:c r="J62" s="14" t="n">
        <x:f>((1-B62)*C62+B62*(1-C62))*(1-G62)</x:f>
        <x:v>1</x:v>
      </x:c>
      <x:c r="K62" s="14" t="n">
        <x:f>B62*(1-C62)*(1-G62)</x:f>
        <x:v>1</x:v>
      </x:c>
      <x:c r="L62" s="14" t="n">
        <x:f>B62*(1-C62)</x:f>
        <x:v>1</x:v>
      </x:c>
      <x:c r="M62" s="14" t="n">
        <x:f>(1-B62)*C62*G62</x:f>
        <x:v>0</x:v>
      </x:c>
      <x:c r="N62" s="14" t="n">
        <x:f>((1-B62)*C62+B62*(1-C62))*G62</x:f>
        <x:v>0</x:v>
      </x:c>
    </x:row>
    <x:row r="63" ht="23" customHeight="1">
      <x:c r="A63" s="9" t="str">
        <x:v>B2</x:v>
      </x:c>
      <x:c r="B63" s="15" t="n">
        <x:v>1</x:v>
      </x:c>
      <x:c r="C63" s="15" t="n">
        <x:v>0</x:v>
      </x:c>
      <x:c r="D63" s="15" t="n">
        <x:v>1</x:v>
      </x:c>
      <x:c r="E63" s="15" t="n">
        <x:v>0</x:v>
      </x:c>
      <x:c r="F63" s="15" t="n">
        <x:v>1</x:v>
      </x:c>
      <x:c r="G63" s="15" t="n">
        <x:v>1</x:v>
      </x:c>
      <x:c r="H63" s="15" t="n">
        <x:f>IF(((1-B63)*(1-C63)*D63*E63*(1-F63)+(1-B63)*C63*G63+B63*(1-C63)+B63*C63*D63)&gt;0,1,0)</x:f>
        <x:v>1</x:v>
      </x:c>
      <x:c r="I63" s="15" t="n">
        <x:f>IF(((1-B63)*(1-C63)*D63*E63*F63+(1-B63)*C63+B63*(1-C63)*G63+B63*C63*D63)&gt;0,1,0)</x:f>
        <x:v>1</x:v>
      </x:c>
      <x:c r="J63" s="15" t="n">
        <x:f>((1-B63)*C63+B63*(1-C63))*(1-G63)</x:f>
        <x:v>0</x:v>
      </x:c>
      <x:c r="K63" s="15" t="n">
        <x:f>B63*(1-C63)*(1-G63)</x:f>
        <x:v>0</x:v>
      </x:c>
      <x:c r="L63" s="15" t="n">
        <x:f>B63*(1-C63)</x:f>
        <x:v>1</x:v>
      </x:c>
      <x:c r="M63" s="15" t="n">
        <x:f>(1-B63)*C63*G63</x:f>
        <x:v>0</x:v>
      </x:c>
      <x:c r="N63" s="15" t="n">
        <x:f>((1-B63)*C63+B63*(1-C63))*G63</x:f>
        <x:v>1</x:v>
      </x:c>
    </x:row>
    <x:row r="64" ht="23" customHeight="1">
      <x:c r="A64" s="2" t="str">
        <x:v>B2</x:v>
      </x:c>
      <x:c r="B64" s="14" t="n">
        <x:v>1</x:v>
      </x:c>
      <x:c r="C64" s="14" t="n">
        <x:v>0</x:v>
      </x:c>
      <x:c r="D64" s="14" t="n">
        <x:v>1</x:v>
      </x:c>
      <x:c r="E64" s="14" t="n">
        <x:v>1</x:v>
      </x:c>
      <x:c r="F64" s="14" t="n">
        <x:v>0</x:v>
      </x:c>
      <x:c r="G64" s="14" t="n">
        <x:v>0</x:v>
      </x:c>
      <x:c r="H64" s="14" t="n">
        <x:f>IF(((1-B64)*(1-C64)*D64*E64*(1-F64)+(1-B64)*C64*G64+B64*(1-C64)+B64*C64*D64)&gt;0,1,0)</x:f>
        <x:v>1</x:v>
      </x:c>
      <x:c r="I64" s="14" t="n">
        <x:f>IF(((1-B64)*(1-C64)*D64*E64*F64+(1-B64)*C64+B64*(1-C64)*G64+B64*C64*D64)&gt;0,1,0)</x:f>
        <x:v>0</x:v>
      </x:c>
      <x:c r="J64" s="14" t="n">
        <x:f>((1-B64)*C64+B64*(1-C64))*(1-G64)</x:f>
        <x:v>1</x:v>
      </x:c>
      <x:c r="K64" s="14" t="n">
        <x:f>B64*(1-C64)*(1-G64)</x:f>
        <x:v>1</x:v>
      </x:c>
      <x:c r="L64" s="14" t="n">
        <x:f>B64*(1-C64)</x:f>
        <x:v>1</x:v>
      </x:c>
      <x:c r="M64" s="14" t="n">
        <x:f>(1-B64)*C64*G64</x:f>
        <x:v>0</x:v>
      </x:c>
      <x:c r="N64" s="14" t="n">
        <x:f>((1-B64)*C64+B64*(1-C64))*G64</x:f>
        <x:v>0</x:v>
      </x:c>
    </x:row>
    <x:row r="65" ht="23" customHeight="1">
      <x:c r="A65" s="9" t="str">
        <x:v>B2</x:v>
      </x:c>
      <x:c r="B65" s="15" t="n">
        <x:v>1</x:v>
      </x:c>
      <x:c r="C65" s="15" t="n">
        <x:v>0</x:v>
      </x:c>
      <x:c r="D65" s="15" t="n">
        <x:v>1</x:v>
      </x:c>
      <x:c r="E65" s="15" t="n">
        <x:v>1</x:v>
      </x:c>
      <x:c r="F65" s="15" t="n">
        <x:v>0</x:v>
      </x:c>
      <x:c r="G65" s="15" t="n">
        <x:v>1</x:v>
      </x:c>
      <x:c r="H65" s="15" t="n">
        <x:f>IF(((1-B65)*(1-C65)*D65*E65*(1-F65)+(1-B65)*C65*G65+B65*(1-C65)+B65*C65*D65)&gt;0,1,0)</x:f>
        <x:v>1</x:v>
      </x:c>
      <x:c r="I65" s="15" t="n">
        <x:f>IF(((1-B65)*(1-C65)*D65*E65*F65+(1-B65)*C65+B65*(1-C65)*G65+B65*C65*D65)&gt;0,1,0)</x:f>
        <x:v>1</x:v>
      </x:c>
      <x:c r="J65" s="15" t="n">
        <x:f>((1-B65)*C65+B65*(1-C65))*(1-G65)</x:f>
        <x:v>0</x:v>
      </x:c>
      <x:c r="K65" s="15" t="n">
        <x:f>B65*(1-C65)*(1-G65)</x:f>
        <x:v>0</x:v>
      </x:c>
      <x:c r="L65" s="15" t="n">
        <x:f>B65*(1-C65)</x:f>
        <x:v>1</x:v>
      </x:c>
      <x:c r="M65" s="15" t="n">
        <x:f>(1-B65)*C65*G65</x:f>
        <x:v>0</x:v>
      </x:c>
      <x:c r="N65" s="15" t="n">
        <x:f>((1-B65)*C65+B65*(1-C65))*G65</x:f>
        <x:v>1</x:v>
      </x:c>
    </x:row>
    <x:row r="66" ht="23" customHeight="1">
      <x:c r="A66" s="2" t="str">
        <x:v>B2</x:v>
      </x:c>
      <x:c r="B66" s="14" t="n">
        <x:v>1</x:v>
      </x:c>
      <x:c r="C66" s="14" t="n">
        <x:v>0</x:v>
      </x:c>
      <x:c r="D66" s="14" t="n">
        <x:v>1</x:v>
      </x:c>
      <x:c r="E66" s="14" t="n">
        <x:v>1</x:v>
      </x:c>
      <x:c r="F66" s="14" t="n">
        <x:v>1</x:v>
      </x:c>
      <x:c r="G66" s="14" t="n">
        <x:v>0</x:v>
      </x:c>
      <x:c r="H66" s="14" t="n">
        <x:f>IF(((1-B66)*(1-C66)*D66*E66*(1-F66)+(1-B66)*C66*G66+B66*(1-C66)+B66*C66*D66)&gt;0,1,0)</x:f>
        <x:v>1</x:v>
      </x:c>
      <x:c r="I66" s="14" t="n">
        <x:f>IF(((1-B66)*(1-C66)*D66*E66*F66+(1-B66)*C66+B66*(1-C66)*G66+B66*C66*D66)&gt;0,1,0)</x:f>
        <x:v>0</x:v>
      </x:c>
      <x:c r="J66" s="14" t="n">
        <x:f>((1-B66)*C66+B66*(1-C66))*(1-G66)</x:f>
        <x:v>1</x:v>
      </x:c>
      <x:c r="K66" s="14" t="n">
        <x:f>B66*(1-C66)*(1-G66)</x:f>
        <x:v>1</x:v>
      </x:c>
      <x:c r="L66" s="14" t="n">
        <x:f>B66*(1-C66)</x:f>
        <x:v>1</x:v>
      </x:c>
      <x:c r="M66" s="14" t="n">
        <x:f>(1-B66)*C66*G66</x:f>
        <x:v>0</x:v>
      </x:c>
      <x:c r="N66" s="14" t="n">
        <x:f>((1-B66)*C66+B66*(1-C66))*G66</x:f>
        <x:v>0</x:v>
      </x:c>
    </x:row>
    <x:row r="67" ht="23" customHeight="1">
      <x:c r="A67" s="9" t="str">
        <x:v>B2</x:v>
      </x:c>
      <x:c r="B67" s="15" t="n">
        <x:v>1</x:v>
      </x:c>
      <x:c r="C67" s="15" t="n">
        <x:v>0</x:v>
      </x:c>
      <x:c r="D67" s="15" t="n">
        <x:v>1</x:v>
      </x:c>
      <x:c r="E67" s="15" t="n">
        <x:v>1</x:v>
      </x:c>
      <x:c r="F67" s="15" t="n">
        <x:v>1</x:v>
      </x:c>
      <x:c r="G67" s="15" t="n">
        <x:v>1</x:v>
      </x:c>
      <x:c r="H67" s="15" t="n">
        <x:f>IF(((1-B67)*(1-C67)*D67*E67*(1-F67)+(1-B67)*C67*G67+B67*(1-C67)+B67*C67*D67)&gt;0,1,0)</x:f>
        <x:v>1</x:v>
      </x:c>
      <x:c r="I67" s="15" t="n">
        <x:f>IF(((1-B67)*(1-C67)*D67*E67*F67+(1-B67)*C67+B67*(1-C67)*G67+B67*C67*D67)&gt;0,1,0)</x:f>
        <x:v>1</x:v>
      </x:c>
      <x:c r="J67" s="15" t="n">
        <x:f>((1-B67)*C67+B67*(1-C67))*(1-G67)</x:f>
        <x:v>0</x:v>
      </x:c>
      <x:c r="K67" s="15" t="n">
        <x:f>B67*(1-C67)*(1-G67)</x:f>
        <x:v>0</x:v>
      </x:c>
      <x:c r="L67" s="15" t="n">
        <x:f>B67*(1-C67)</x:f>
        <x:v>1</x:v>
      </x:c>
      <x:c r="M67" s="15" t="n">
        <x:f>(1-B67)*C67*G67</x:f>
        <x:v>0</x:v>
      </x:c>
      <x:c r="N67" s="15" t="n">
        <x:f>((1-B67)*C67+B67*(1-C67))*G67</x:f>
        <x:v>1</x:v>
      </x:c>
    </x:row>
    <x:row r="68" ht="23" customHeight="1">
      <x:c r="A68" s="2" t="str">
        <x:v>B3</x:v>
      </x:c>
      <x:c r="B68" s="14" t="n">
        <x:v>1</x:v>
      </x:c>
      <x:c r="C68" s="14" t="n">
        <x:v>1</x:v>
      </x:c>
      <x:c r="D68" s="14" t="n">
        <x:v>0</x:v>
      </x:c>
      <x:c r="E68" s="14" t="n">
        <x:v>0</x:v>
      </x:c>
      <x:c r="F68" s="14" t="n">
        <x:v>0</x:v>
      </x:c>
      <x:c r="G68" s="14" t="n">
        <x:v>0</x:v>
      </x:c>
      <x:c r="H68" s="14" t="n">
        <x:f>IF(((1-B68)*(1-C68)*D68*E68*(1-F68)+(1-B68)*C68*G68+B68*(1-C68)+B68*C68*D68)&gt;0,1,0)</x:f>
        <x:v>0</x:v>
      </x:c>
      <x:c r="I68" s="14" t="n">
        <x:f>IF(((1-B68)*(1-C68)*D68*E68*F68+(1-B68)*C68+B68*(1-C68)*G68+B68*C68*D68)&gt;0,1,0)</x:f>
        <x:v>0</x:v>
      </x:c>
      <x:c r="J68" s="14" t="n">
        <x:f>((1-B68)*C68+B68*(1-C68))*(1-G68)</x:f>
        <x:v>0</x:v>
      </x:c>
      <x:c r="K68" s="14" t="n">
        <x:f>B68*(1-C68)*(1-G68)</x:f>
        <x:v>0</x:v>
      </x:c>
      <x:c r="L68" s="14" t="n">
        <x:f>B68*(1-C68)</x:f>
        <x:v>0</x:v>
      </x:c>
      <x:c r="M68" s="14" t="n">
        <x:f>(1-B68)*C68*G68</x:f>
        <x:v>0</x:v>
      </x:c>
      <x:c r="N68" s="14" t="n">
        <x:f>((1-B68)*C68+B68*(1-C68))*G68</x:f>
        <x:v>0</x:v>
      </x:c>
    </x:row>
    <x:row r="69" ht="23" customHeight="1">
      <x:c r="A69" s="9" t="str">
        <x:v>B3</x:v>
      </x:c>
      <x:c r="B69" s="15" t="n">
        <x:v>1</x:v>
      </x:c>
      <x:c r="C69" s="15" t="n">
        <x:v>1</x:v>
      </x:c>
      <x:c r="D69" s="15" t="n">
        <x:v>0</x:v>
      </x:c>
      <x:c r="E69" s="15" t="n">
        <x:v>0</x:v>
      </x:c>
      <x:c r="F69" s="15" t="n">
        <x:v>0</x:v>
      </x:c>
      <x:c r="G69" s="15" t="n">
        <x:v>1</x:v>
      </x:c>
      <x:c r="H69" s="15" t="n">
        <x:f>IF(((1-B69)*(1-C69)*D69*E69*(1-F69)+(1-B69)*C69*G69+B69*(1-C69)+B69*C69*D69)&gt;0,1,0)</x:f>
        <x:v>0</x:v>
      </x:c>
      <x:c r="I69" s="15" t="n">
        <x:f>IF(((1-B69)*(1-C69)*D69*E69*F69+(1-B69)*C69+B69*(1-C69)*G69+B69*C69*D69)&gt;0,1,0)</x:f>
        <x:v>0</x:v>
      </x:c>
      <x:c r="J69" s="15" t="n">
        <x:f>((1-B69)*C69+B69*(1-C69))*(1-G69)</x:f>
        <x:v>0</x:v>
      </x:c>
      <x:c r="K69" s="15" t="n">
        <x:f>B69*(1-C69)*(1-G69)</x:f>
        <x:v>0</x:v>
      </x:c>
      <x:c r="L69" s="15" t="n">
        <x:f>B69*(1-C69)</x:f>
        <x:v>0</x:v>
      </x:c>
      <x:c r="M69" s="15" t="n">
        <x:f>(1-B69)*C69*G69</x:f>
        <x:v>0</x:v>
      </x:c>
      <x:c r="N69" s="15" t="n">
        <x:f>((1-B69)*C69+B69*(1-C69))*G69</x:f>
        <x:v>0</x:v>
      </x:c>
    </x:row>
    <x:row r="70" ht="23" customHeight="1">
      <x:c r="A70" s="2" t="str">
        <x:v>B3</x:v>
      </x:c>
      <x:c r="B70" s="14" t="n">
        <x:v>1</x:v>
      </x:c>
      <x:c r="C70" s="14" t="n">
        <x:v>1</x:v>
      </x:c>
      <x:c r="D70" s="14" t="n">
        <x:v>0</x:v>
      </x:c>
      <x:c r="E70" s="14" t="n">
        <x:v>0</x:v>
      </x:c>
      <x:c r="F70" s="14" t="n">
        <x:v>1</x:v>
      </x:c>
      <x:c r="G70" s="14" t="n">
        <x:v>0</x:v>
      </x:c>
      <x:c r="H70" s="14" t="n">
        <x:f>IF(((1-B70)*(1-C70)*D70*E70*(1-F70)+(1-B70)*C70*G70+B70*(1-C70)+B70*C70*D70)&gt;0,1,0)</x:f>
        <x:v>0</x:v>
      </x:c>
      <x:c r="I70" s="14" t="n">
        <x:f>IF(((1-B70)*(1-C70)*D70*E70*F70+(1-B70)*C70+B70*(1-C70)*G70+B70*C70*D70)&gt;0,1,0)</x:f>
        <x:v>0</x:v>
      </x:c>
      <x:c r="J70" s="14" t="n">
        <x:f>((1-B70)*C70+B70*(1-C70))*(1-G70)</x:f>
        <x:v>0</x:v>
      </x:c>
      <x:c r="K70" s="14" t="n">
        <x:f>B70*(1-C70)*(1-G70)</x:f>
        <x:v>0</x:v>
      </x:c>
      <x:c r="L70" s="14" t="n">
        <x:f>B70*(1-C70)</x:f>
        <x:v>0</x:v>
      </x:c>
      <x:c r="M70" s="14" t="n">
        <x:f>(1-B70)*C70*G70</x:f>
        <x:v>0</x:v>
      </x:c>
      <x:c r="N70" s="14" t="n">
        <x:f>((1-B70)*C70+B70*(1-C70))*G70</x:f>
        <x:v>0</x:v>
      </x:c>
    </x:row>
    <x:row r="71" ht="23" customHeight="1">
      <x:c r="A71" s="9" t="str">
        <x:v>B3</x:v>
      </x:c>
      <x:c r="B71" s="15" t="n">
        <x:v>1</x:v>
      </x:c>
      <x:c r="C71" s="15" t="n">
        <x:v>1</x:v>
      </x:c>
      <x:c r="D71" s="15" t="n">
        <x:v>0</x:v>
      </x:c>
      <x:c r="E71" s="15" t="n">
        <x:v>0</x:v>
      </x:c>
      <x:c r="F71" s="15" t="n">
        <x:v>1</x:v>
      </x:c>
      <x:c r="G71" s="15" t="n">
        <x:v>1</x:v>
      </x:c>
      <x:c r="H71" s="15" t="n">
        <x:f>IF(((1-B71)*(1-C71)*D71*E71*(1-F71)+(1-B71)*C71*G71+B71*(1-C71)+B71*C71*D71)&gt;0,1,0)</x:f>
        <x:v>0</x:v>
      </x:c>
      <x:c r="I71" s="15" t="n">
        <x:f>IF(((1-B71)*(1-C71)*D71*E71*F71+(1-B71)*C71+B71*(1-C71)*G71+B71*C71*D71)&gt;0,1,0)</x:f>
        <x:v>0</x:v>
      </x:c>
      <x:c r="J71" s="15" t="n">
        <x:f>((1-B71)*C71+B71*(1-C71))*(1-G71)</x:f>
        <x:v>0</x:v>
      </x:c>
      <x:c r="K71" s="15" t="n">
        <x:f>B71*(1-C71)*(1-G71)</x:f>
        <x:v>0</x:v>
      </x:c>
      <x:c r="L71" s="15" t="n">
        <x:f>B71*(1-C71)</x:f>
        <x:v>0</x:v>
      </x:c>
      <x:c r="M71" s="15" t="n">
        <x:f>(1-B71)*C71*G71</x:f>
        <x:v>0</x:v>
      </x:c>
      <x:c r="N71" s="15" t="n">
        <x:f>((1-B71)*C71+B71*(1-C71))*G71</x:f>
        <x:v>0</x:v>
      </x:c>
    </x:row>
    <x:row r="72" ht="23" customHeight="1">
      <x:c r="A72" s="2" t="str">
        <x:v>B3</x:v>
      </x:c>
      <x:c r="B72" s="14" t="n">
        <x:v>1</x:v>
      </x:c>
      <x:c r="C72" s="14" t="n">
        <x:v>1</x:v>
      </x:c>
      <x:c r="D72" s="14" t="n">
        <x:v>0</x:v>
      </x:c>
      <x:c r="E72" s="14" t="n">
        <x:v>1</x:v>
      </x:c>
      <x:c r="F72" s="14" t="n">
        <x:v>0</x:v>
      </x:c>
      <x:c r="G72" s="14" t="n">
        <x:v>0</x:v>
      </x:c>
      <x:c r="H72" s="14" t="n">
        <x:f>IF(((1-B72)*(1-C72)*D72*E72*(1-F72)+(1-B72)*C72*G72+B72*(1-C72)+B72*C72*D72)&gt;0,1,0)</x:f>
        <x:v>0</x:v>
      </x:c>
      <x:c r="I72" s="14" t="n">
        <x:f>IF(((1-B72)*(1-C72)*D72*E72*F72+(1-B72)*C72+B72*(1-C72)*G72+B72*C72*D72)&gt;0,1,0)</x:f>
        <x:v>0</x:v>
      </x:c>
      <x:c r="J72" s="14" t="n">
        <x:f>((1-B72)*C72+B72*(1-C72))*(1-G72)</x:f>
        <x:v>0</x:v>
      </x:c>
      <x:c r="K72" s="14" t="n">
        <x:f>B72*(1-C72)*(1-G72)</x:f>
        <x:v>0</x:v>
      </x:c>
      <x:c r="L72" s="14" t="n">
        <x:f>B72*(1-C72)</x:f>
        <x:v>0</x:v>
      </x:c>
      <x:c r="M72" s="14" t="n">
        <x:f>(1-B72)*C72*G72</x:f>
        <x:v>0</x:v>
      </x:c>
      <x:c r="N72" s="14" t="n">
        <x:f>((1-B72)*C72+B72*(1-C72))*G72</x:f>
        <x:v>0</x:v>
      </x:c>
    </x:row>
    <x:row r="73" ht="23" customHeight="1">
      <x:c r="A73" s="9" t="str">
        <x:v>B3</x:v>
      </x:c>
      <x:c r="B73" s="15" t="n">
        <x:v>1</x:v>
      </x:c>
      <x:c r="C73" s="15" t="n">
        <x:v>1</x:v>
      </x:c>
      <x:c r="D73" s="15" t="n">
        <x:v>0</x:v>
      </x:c>
      <x:c r="E73" s="15" t="n">
        <x:v>1</x:v>
      </x:c>
      <x:c r="F73" s="15" t="n">
        <x:v>0</x:v>
      </x:c>
      <x:c r="G73" s="15" t="n">
        <x:v>1</x:v>
      </x:c>
      <x:c r="H73" s="15" t="n">
        <x:f>IF(((1-B73)*(1-C73)*D73*E73*(1-F73)+(1-B73)*C73*G73+B73*(1-C73)+B73*C73*D73)&gt;0,1,0)</x:f>
        <x:v>0</x:v>
      </x:c>
      <x:c r="I73" s="15" t="n">
        <x:f>IF(((1-B73)*(1-C73)*D73*E73*F73+(1-B73)*C73+B73*(1-C73)*G73+B73*C73*D73)&gt;0,1,0)</x:f>
        <x:v>0</x:v>
      </x:c>
      <x:c r="J73" s="15" t="n">
        <x:f>((1-B73)*C73+B73*(1-C73))*(1-G73)</x:f>
        <x:v>0</x:v>
      </x:c>
      <x:c r="K73" s="15" t="n">
        <x:f>B73*(1-C73)*(1-G73)</x:f>
        <x:v>0</x:v>
      </x:c>
      <x:c r="L73" s="15" t="n">
        <x:f>B73*(1-C73)</x:f>
        <x:v>0</x:v>
      </x:c>
      <x:c r="M73" s="15" t="n">
        <x:f>(1-B73)*C73*G73</x:f>
        <x:v>0</x:v>
      </x:c>
      <x:c r="N73" s="15" t="n">
        <x:f>((1-B73)*C73+B73*(1-C73))*G73</x:f>
        <x:v>0</x:v>
      </x:c>
    </x:row>
    <x:row r="74" ht="23" customHeight="1">
      <x:c r="A74" s="2" t="str">
        <x:v>B3</x:v>
      </x:c>
      <x:c r="B74" s="14" t="n">
        <x:v>1</x:v>
      </x:c>
      <x:c r="C74" s="14" t="n">
        <x:v>1</x:v>
      </x:c>
      <x:c r="D74" s="14" t="n">
        <x:v>0</x:v>
      </x:c>
      <x:c r="E74" s="14" t="n">
        <x:v>1</x:v>
      </x:c>
      <x:c r="F74" s="14" t="n">
        <x:v>1</x:v>
      </x:c>
      <x:c r="G74" s="14" t="n">
        <x:v>0</x:v>
      </x:c>
      <x:c r="H74" s="14" t="n">
        <x:f>IF(((1-B74)*(1-C74)*D74*E74*(1-F74)+(1-B74)*C74*G74+B74*(1-C74)+B74*C74*D74)&gt;0,1,0)</x:f>
        <x:v>0</x:v>
      </x:c>
      <x:c r="I74" s="14" t="n">
        <x:f>IF(((1-B74)*(1-C74)*D74*E74*F74+(1-B74)*C74+B74*(1-C74)*G74+B74*C74*D74)&gt;0,1,0)</x:f>
        <x:v>0</x:v>
      </x:c>
      <x:c r="J74" s="14" t="n">
        <x:f>((1-B74)*C74+B74*(1-C74))*(1-G74)</x:f>
        <x:v>0</x:v>
      </x:c>
      <x:c r="K74" s="14" t="n">
        <x:f>B74*(1-C74)*(1-G74)</x:f>
        <x:v>0</x:v>
      </x:c>
      <x:c r="L74" s="14" t="n">
        <x:f>B74*(1-C74)</x:f>
        <x:v>0</x:v>
      </x:c>
      <x:c r="M74" s="14" t="n">
        <x:f>(1-B74)*C74*G74</x:f>
        <x:v>0</x:v>
      </x:c>
      <x:c r="N74" s="14" t="n">
        <x:f>((1-B74)*C74+B74*(1-C74))*G74</x:f>
        <x:v>0</x:v>
      </x:c>
    </x:row>
    <x:row r="75" ht="23" customHeight="1">
      <x:c r="A75" s="9" t="str">
        <x:v>B3</x:v>
      </x:c>
      <x:c r="B75" s="15" t="n">
        <x:v>1</x:v>
      </x:c>
      <x:c r="C75" s="15" t="n">
        <x:v>1</x:v>
      </x:c>
      <x:c r="D75" s="15" t="n">
        <x:v>0</x:v>
      </x:c>
      <x:c r="E75" s="15" t="n">
        <x:v>1</x:v>
      </x:c>
      <x:c r="F75" s="15" t="n">
        <x:v>1</x:v>
      </x:c>
      <x:c r="G75" s="15" t="n">
        <x:v>1</x:v>
      </x:c>
      <x:c r="H75" s="15" t="n">
        <x:f>IF(((1-B75)*(1-C75)*D75*E75*(1-F75)+(1-B75)*C75*G75+B75*(1-C75)+B75*C75*D75)&gt;0,1,0)</x:f>
        <x:v>0</x:v>
      </x:c>
      <x:c r="I75" s="15" t="n">
        <x:f>IF(((1-B75)*(1-C75)*D75*E75*F75+(1-B75)*C75+B75*(1-C75)*G75+B75*C75*D75)&gt;0,1,0)</x:f>
        <x:v>0</x:v>
      </x:c>
      <x:c r="J75" s="15" t="n">
        <x:f>((1-B75)*C75+B75*(1-C75))*(1-G75)</x:f>
        <x:v>0</x:v>
      </x:c>
      <x:c r="K75" s="15" t="n">
        <x:f>B75*(1-C75)*(1-G75)</x:f>
        <x:v>0</x:v>
      </x:c>
      <x:c r="L75" s="15" t="n">
        <x:f>B75*(1-C75)</x:f>
        <x:v>0</x:v>
      </x:c>
      <x:c r="M75" s="15" t="n">
        <x:f>(1-B75)*C75*G75</x:f>
        <x:v>0</x:v>
      </x:c>
      <x:c r="N75" s="15" t="n">
        <x:f>((1-B75)*C75+B75*(1-C75))*G75</x:f>
        <x:v>0</x:v>
      </x:c>
    </x:row>
    <x:row r="76" ht="23" customHeight="1">
      <x:c r="A76" s="2" t="str">
        <x:v>B3</x:v>
      </x:c>
      <x:c r="B76" s="14" t="n">
        <x:v>1</x:v>
      </x:c>
      <x:c r="C76" s="14" t="n">
        <x:v>1</x:v>
      </x:c>
      <x:c r="D76" s="14" t="n">
        <x:v>1</x:v>
      </x:c>
      <x:c r="E76" s="14" t="n">
        <x:v>0</x:v>
      </x:c>
      <x:c r="F76" s="14" t="n">
        <x:v>0</x:v>
      </x:c>
      <x:c r="G76" s="14" t="n">
        <x:v>0</x:v>
      </x:c>
      <x:c r="H76" s="14" t="n">
        <x:f>IF(((1-B76)*(1-C76)*D76*E76*(1-F76)+(1-B76)*C76*G76+B76*(1-C76)+B76*C76*D76)&gt;0,1,0)</x:f>
        <x:v>1</x:v>
      </x:c>
      <x:c r="I76" s="14" t="n">
        <x:f>IF(((1-B76)*(1-C76)*D76*E76*F76+(1-B76)*C76+B76*(1-C76)*G76+B76*C76*D76)&gt;0,1,0)</x:f>
        <x:v>1</x:v>
      </x:c>
      <x:c r="J76" s="14" t="n">
        <x:f>((1-B76)*C76+B76*(1-C76))*(1-G76)</x:f>
        <x:v>0</x:v>
      </x:c>
      <x:c r="K76" s="14" t="n">
        <x:f>B76*(1-C76)*(1-G76)</x:f>
        <x:v>0</x:v>
      </x:c>
      <x:c r="L76" s="14" t="n">
        <x:f>B76*(1-C76)</x:f>
        <x:v>0</x:v>
      </x:c>
      <x:c r="M76" s="14" t="n">
        <x:f>(1-B76)*C76*G76</x:f>
        <x:v>0</x:v>
      </x:c>
      <x:c r="N76" s="14" t="n">
        <x:f>((1-B76)*C76+B76*(1-C76))*G76</x:f>
        <x:v>0</x:v>
      </x:c>
    </x:row>
    <x:row r="77" ht="23" customHeight="1">
      <x:c r="A77" s="9" t="str">
        <x:v>B3</x:v>
      </x:c>
      <x:c r="B77" s="15" t="n">
        <x:v>1</x:v>
      </x:c>
      <x:c r="C77" s="15" t="n">
        <x:v>1</x:v>
      </x:c>
      <x:c r="D77" s="15" t="n">
        <x:v>1</x:v>
      </x:c>
      <x:c r="E77" s="15" t="n">
        <x:v>0</x:v>
      </x:c>
      <x:c r="F77" s="15" t="n">
        <x:v>0</x:v>
      </x:c>
      <x:c r="G77" s="15" t="n">
        <x:v>1</x:v>
      </x:c>
      <x:c r="H77" s="15" t="n">
        <x:f>IF(((1-B77)*(1-C77)*D77*E77*(1-F77)+(1-B77)*C77*G77+B77*(1-C77)+B77*C77*D77)&gt;0,1,0)</x:f>
        <x:v>1</x:v>
      </x:c>
      <x:c r="I77" s="15" t="n">
        <x:f>IF(((1-B77)*(1-C77)*D77*E77*F77+(1-B77)*C77+B77*(1-C77)*G77+B77*C77*D77)&gt;0,1,0)</x:f>
        <x:v>1</x:v>
      </x:c>
      <x:c r="J77" s="15" t="n">
        <x:f>((1-B77)*C77+B77*(1-C77))*(1-G77)</x:f>
        <x:v>0</x:v>
      </x:c>
      <x:c r="K77" s="15" t="n">
        <x:f>B77*(1-C77)*(1-G77)</x:f>
        <x:v>0</x:v>
      </x:c>
      <x:c r="L77" s="15" t="n">
        <x:f>B77*(1-C77)</x:f>
        <x:v>0</x:v>
      </x:c>
      <x:c r="M77" s="15" t="n">
        <x:f>(1-B77)*C77*G77</x:f>
        <x:v>0</x:v>
      </x:c>
      <x:c r="N77" s="15" t="n">
        <x:f>((1-B77)*C77+B77*(1-C77))*G77</x:f>
        <x:v>0</x:v>
      </x:c>
    </x:row>
    <x:row r="78" ht="23" customHeight="1">
      <x:c r="A78" s="2" t="str">
        <x:v>B3</x:v>
      </x:c>
      <x:c r="B78" s="14" t="n">
        <x:v>1</x:v>
      </x:c>
      <x:c r="C78" s="14" t="n">
        <x:v>1</x:v>
      </x:c>
      <x:c r="D78" s="14" t="n">
        <x:v>1</x:v>
      </x:c>
      <x:c r="E78" s="14" t="n">
        <x:v>0</x:v>
      </x:c>
      <x:c r="F78" s="14" t="n">
        <x:v>1</x:v>
      </x:c>
      <x:c r="G78" s="14" t="n">
        <x:v>0</x:v>
      </x:c>
      <x:c r="H78" s="14" t="n">
        <x:f>IF(((1-B78)*(1-C78)*D78*E78*(1-F78)+(1-B78)*C78*G78+B78*(1-C78)+B78*C78*D78)&gt;0,1,0)</x:f>
        <x:v>1</x:v>
      </x:c>
      <x:c r="I78" s="14" t="n">
        <x:f>IF(((1-B78)*(1-C78)*D78*E78*F78+(1-B78)*C78+B78*(1-C78)*G78+B78*C78*D78)&gt;0,1,0)</x:f>
        <x:v>1</x:v>
      </x:c>
      <x:c r="J78" s="14" t="n">
        <x:f>((1-B78)*C78+B78*(1-C78))*(1-G78)</x:f>
        <x:v>0</x:v>
      </x:c>
      <x:c r="K78" s="14" t="n">
        <x:f>B78*(1-C78)*(1-G78)</x:f>
        <x:v>0</x:v>
      </x:c>
      <x:c r="L78" s="14" t="n">
        <x:f>B78*(1-C78)</x:f>
        <x:v>0</x:v>
      </x:c>
      <x:c r="M78" s="14" t="n">
        <x:f>(1-B78)*C78*G78</x:f>
        <x:v>0</x:v>
      </x:c>
      <x:c r="N78" s="14" t="n">
        <x:f>((1-B78)*C78+B78*(1-C78))*G78</x:f>
        <x:v>0</x:v>
      </x:c>
    </x:row>
    <x:row r="79" ht="23" customHeight="1">
      <x:c r="A79" s="9" t="str">
        <x:v>B3</x:v>
      </x:c>
      <x:c r="B79" s="15" t="n">
        <x:v>1</x:v>
      </x:c>
      <x:c r="C79" s="15" t="n">
        <x:v>1</x:v>
      </x:c>
      <x:c r="D79" s="15" t="n">
        <x:v>1</x:v>
      </x:c>
      <x:c r="E79" s="15" t="n">
        <x:v>0</x:v>
      </x:c>
      <x:c r="F79" s="15" t="n">
        <x:v>1</x:v>
      </x:c>
      <x:c r="G79" s="15" t="n">
        <x:v>1</x:v>
      </x:c>
      <x:c r="H79" s="15" t="n">
        <x:f>IF(((1-B79)*(1-C79)*D79*E79*(1-F79)+(1-B79)*C79*G79+B79*(1-C79)+B79*C79*D79)&gt;0,1,0)</x:f>
        <x:v>1</x:v>
      </x:c>
      <x:c r="I79" s="15" t="n">
        <x:f>IF(((1-B79)*(1-C79)*D79*E79*F79+(1-B79)*C79+B79*(1-C79)*G79+B79*C79*D79)&gt;0,1,0)</x:f>
        <x:v>1</x:v>
      </x:c>
      <x:c r="J79" s="15" t="n">
        <x:f>((1-B79)*C79+B79*(1-C79))*(1-G79)</x:f>
        <x:v>0</x:v>
      </x:c>
      <x:c r="K79" s="15" t="n">
        <x:f>B79*(1-C79)*(1-G79)</x:f>
        <x:v>0</x:v>
      </x:c>
      <x:c r="L79" s="15" t="n">
        <x:f>B79*(1-C79)</x:f>
        <x:v>0</x:v>
      </x:c>
      <x:c r="M79" s="15" t="n">
        <x:f>(1-B79)*C79*G79</x:f>
        <x:v>0</x:v>
      </x:c>
      <x:c r="N79" s="15" t="n">
        <x:f>((1-B79)*C79+B79*(1-C79))*G79</x:f>
        <x:v>0</x:v>
      </x:c>
    </x:row>
    <x:row r="80" ht="23" customHeight="1">
      <x:c r="A80" s="2" t="str">
        <x:v>B3</x:v>
      </x:c>
      <x:c r="B80" s="14" t="n">
        <x:v>1</x:v>
      </x:c>
      <x:c r="C80" s="14" t="n">
        <x:v>1</x:v>
      </x:c>
      <x:c r="D80" s="14" t="n">
        <x:v>1</x:v>
      </x:c>
      <x:c r="E80" s="14" t="n">
        <x:v>1</x:v>
      </x:c>
      <x:c r="F80" s="14" t="n">
        <x:v>0</x:v>
      </x:c>
      <x:c r="G80" s="14" t="n">
        <x:v>0</x:v>
      </x:c>
      <x:c r="H80" s="14" t="n">
        <x:f>IF(((1-B80)*(1-C80)*D80*E80*(1-F80)+(1-B80)*C80*G80+B80*(1-C80)+B80*C80*D80)&gt;0,1,0)</x:f>
        <x:v>1</x:v>
      </x:c>
      <x:c r="I80" s="14" t="n">
        <x:f>IF(((1-B80)*(1-C80)*D80*E80*F80+(1-B80)*C80+B80*(1-C80)*G80+B80*C80*D80)&gt;0,1,0)</x:f>
        <x:v>1</x:v>
      </x:c>
      <x:c r="J80" s="14" t="n">
        <x:f>((1-B80)*C80+B80*(1-C80))*(1-G80)</x:f>
        <x:v>0</x:v>
      </x:c>
      <x:c r="K80" s="14" t="n">
        <x:f>B80*(1-C80)*(1-G80)</x:f>
        <x:v>0</x:v>
      </x:c>
      <x:c r="L80" s="14" t="n">
        <x:f>B80*(1-C80)</x:f>
        <x:v>0</x:v>
      </x:c>
      <x:c r="M80" s="14" t="n">
        <x:f>(1-B80)*C80*G80</x:f>
        <x:v>0</x:v>
      </x:c>
      <x:c r="N80" s="14" t="n">
        <x:f>((1-B80)*C80+B80*(1-C80))*G80</x:f>
        <x:v>0</x:v>
      </x:c>
    </x:row>
    <x:row r="81" ht="23" customHeight="1">
      <x:c r="A81" s="9" t="str">
        <x:v>B3</x:v>
      </x:c>
      <x:c r="B81" s="15" t="n">
        <x:v>1</x:v>
      </x:c>
      <x:c r="C81" s="15" t="n">
        <x:v>1</x:v>
      </x:c>
      <x:c r="D81" s="15" t="n">
        <x:v>1</x:v>
      </x:c>
      <x:c r="E81" s="15" t="n">
        <x:v>1</x:v>
      </x:c>
      <x:c r="F81" s="15" t="n">
        <x:v>0</x:v>
      </x:c>
      <x:c r="G81" s="15" t="n">
        <x:v>1</x:v>
      </x:c>
      <x:c r="H81" s="15" t="n">
        <x:f>IF(((1-B81)*(1-C81)*D81*E81*(1-F81)+(1-B81)*C81*G81+B81*(1-C81)+B81*C81*D81)&gt;0,1,0)</x:f>
        <x:v>1</x:v>
      </x:c>
      <x:c r="I81" s="15" t="n">
        <x:f>IF(((1-B81)*(1-C81)*D81*E81*F81+(1-B81)*C81+B81*(1-C81)*G81+B81*C81*D81)&gt;0,1,0)</x:f>
        <x:v>1</x:v>
      </x:c>
      <x:c r="J81" s="15" t="n">
        <x:f>((1-B81)*C81+B81*(1-C81))*(1-G81)</x:f>
        <x:v>0</x:v>
      </x:c>
      <x:c r="K81" s="15" t="n">
        <x:f>B81*(1-C81)*(1-G81)</x:f>
        <x:v>0</x:v>
      </x:c>
      <x:c r="L81" s="15" t="n">
        <x:f>B81*(1-C81)</x:f>
        <x:v>0</x:v>
      </x:c>
      <x:c r="M81" s="15" t="n">
        <x:f>(1-B81)*C81*G81</x:f>
        <x:v>0</x:v>
      </x:c>
      <x:c r="N81" s="15" t="n">
        <x:f>((1-B81)*C81+B81*(1-C81))*G81</x:f>
        <x:v>0</x:v>
      </x:c>
    </x:row>
    <x:row r="82" ht="23" customHeight="1">
      <x:c r="A82" s="2" t="str">
        <x:v>B3</x:v>
      </x:c>
      <x:c r="B82" s="14" t="n">
        <x:v>1</x:v>
      </x:c>
      <x:c r="C82" s="14" t="n">
        <x:v>1</x:v>
      </x:c>
      <x:c r="D82" s="14" t="n">
        <x:v>1</x:v>
      </x:c>
      <x:c r="E82" s="14" t="n">
        <x:v>1</x:v>
      </x:c>
      <x:c r="F82" s="14" t="n">
        <x:v>1</x:v>
      </x:c>
      <x:c r="G82" s="14" t="n">
        <x:v>0</x:v>
      </x:c>
      <x:c r="H82" s="14" t="n">
        <x:f>IF(((1-B82)*(1-C82)*D82*E82*(1-F82)+(1-B82)*C82*G82+B82*(1-C82)+B82*C82*D82)&gt;0,1,0)</x:f>
        <x:v>1</x:v>
      </x:c>
      <x:c r="I82" s="14" t="n">
        <x:f>IF(((1-B82)*(1-C82)*D82*E82*F82+(1-B82)*C82+B82*(1-C82)*G82+B82*C82*D82)&gt;0,1,0)</x:f>
        <x:v>1</x:v>
      </x:c>
      <x:c r="J82" s="14" t="n">
        <x:f>((1-B82)*C82+B82*(1-C82))*(1-G82)</x:f>
        <x:v>0</x:v>
      </x:c>
      <x:c r="K82" s="14" t="n">
        <x:f>B82*(1-C82)*(1-G82)</x:f>
        <x:v>0</x:v>
      </x:c>
      <x:c r="L82" s="14" t="n">
        <x:f>B82*(1-C82)</x:f>
        <x:v>0</x:v>
      </x:c>
      <x:c r="M82" s="14" t="n">
        <x:f>(1-B82)*C82*G82</x:f>
        <x:v>0</x:v>
      </x:c>
      <x:c r="N82" s="14" t="n">
        <x:f>((1-B82)*C82+B82*(1-C82))*G82</x:f>
        <x:v>0</x:v>
      </x:c>
    </x:row>
    <x:row r="83" ht="23" customHeight="1">
      <x:c r="A83" s="9" t="str">
        <x:v>B3</x:v>
      </x:c>
      <x:c r="B83" s="15" t="n">
        <x:v>1</x:v>
      </x:c>
      <x:c r="C83" s="15" t="n">
        <x:v>1</x:v>
      </x:c>
      <x:c r="D83" s="15" t="n">
        <x:v>1</x:v>
      </x:c>
      <x:c r="E83" s="15" t="n">
        <x:v>1</x:v>
      </x:c>
      <x:c r="F83" s="15" t="n">
        <x:v>1</x:v>
      </x:c>
      <x:c r="G83" s="15" t="n">
        <x:v>1</x:v>
      </x:c>
      <x:c r="H83" s="15" t="n">
        <x:f>IF(((1-B83)*(1-C83)*D83*E83*(1-F83)+(1-B83)*C83*G83+B83*(1-C83)+B83*C83*D83)&gt;0,1,0)</x:f>
        <x:v>1</x:v>
      </x:c>
      <x:c r="I83" s="15" t="n">
        <x:f>IF(((1-B83)*(1-C83)*D83*E83*F83+(1-B83)*C83+B83*(1-C83)*G83+B83*C83*D83)&gt;0,1,0)</x:f>
        <x:v>1</x:v>
      </x:c>
      <x:c r="J83" s="15" t="n">
        <x:f>((1-B83)*C83+B83*(1-C83))*(1-G83)</x:f>
        <x:v>0</x:v>
      </x:c>
      <x:c r="K83" s="15" t="n">
        <x:f>B83*(1-C83)*(1-G83)</x:f>
        <x:v>0</x:v>
      </x:c>
      <x:c r="L83" s="15" t="n">
        <x:f>B83*(1-C83)</x:f>
        <x:v>0</x:v>
      </x:c>
      <x:c r="M83" s="15" t="n">
        <x:f>(1-B83)*C83*G83</x:f>
        <x:v>0</x:v>
      </x:c>
      <x:c r="N83" s="15" t="n">
        <x:f>((1-B83)*C83+B83*(1-C83))*G83</x:f>
        <x:v>0</x:v>
      </x:c>
    </x:row>
    <x:row r="84" ht="23" customHeight="1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</x:row>
    <x:row r="85" ht="23" customHeight="1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</x:row>
    <x:row r="86" ht="23" customHeight="1">
      <x:c r="A86" s="4" t="str">
        <x:v>AV se usa en ambas rutas. DV añade el desvío; solo la ruta B1 puede producir OK.</x:v>
      </x:c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</x:row>
    <x:row r="87" ht="23" customHeight="1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</x:row>
    <x:row r="88" ht="23" customHeight="1">
      <x:c r="A88" s="4" t="str">
        <x:v>Los cuatro códigos de estado están definidos. Cambia de estado únicamente en el flanco ascendente de CLK.</x:v>
      </x:c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</x:row>
    <x:row r="89" ht="23" customHeight="1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</x:row>
    <x:row r="90" ht="23" customHeight="1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</x:row>
    <x:row r="91" ht="23" customHeight="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64" hidden="0" customWidth="1"/>
    <x:col min="3" max="3" width="70" hidden="0" customWidth="1"/>
  </x:cols>
  <x:sheetData>
    <x:row r="1" ht="23" customHeight="1">
      <x:c r="A1" s="2"/>
      <x:c r="B1" s="2"/>
      <x:c r="C1" s="2"/>
    </x:row>
    <x:row r="2" ht="30" customHeight="1">
      <x:c r="A2" s="3" t="str">
        <x:v>Ecuaciones booleanas para los flip-flops y las salidas</x:v>
      </x:c>
      <x:c r="B2" s="2"/>
      <x:c r="C2" s="2"/>
    </x:row>
    <x:row r="3" ht="23" customHeight="1">
      <x:c r="A3" s="4" t="str">
        <x:v>P0 a P3 y B0 a B3 son decodificaciones del estado actual. El signo + dentro de una expresión significa OR.</x:v>
      </x:c>
      <x:c r="B3" s="2"/>
      <x:c r="C3" s="2"/>
    </x:row>
    <x:row r="4" ht="23" customHeight="1">
      <x:c r="A4" s="2"/>
      <x:c r="B4" s="2"/>
      <x:c r="C4" s="2"/>
    </x:row>
    <x:row r="5" ht="29" customHeight="1">
      <x:c r="A5" s="8" t="str">
        <x:v>Resultado</x:v>
      </x:c>
      <x:c r="B5" s="8" t="str">
        <x:v>Expresión lógica</x:v>
      </x:c>
      <x:c r="C5" s="8" t="str">
        <x:v>Interpretación</x:v>
      </x:c>
    </x:row>
    <x:row r="6" ht="29" customHeight="1">
      <x:c r="A6" s="2" t="str">
        <x:v>Convención</x:v>
      </x:c>
      <x:c r="B6" s="2" t="str">
        <x:v>~ = NOT; · = AND; + = OR</x:v>
      </x:c>
      <x:c r="C6" s="2" t="str">
        <x:v>p1 y b1 son los bits más significativos.</x:v>
      </x:c>
    </x:row>
    <x:row r="7" ht="29" customHeight="1">
      <x:c r="A7" s="9" t="str">
        <x:v>P0</x:v>
      </x:c>
      <x:c r="B7" s="9" t="str">
        <x:v>~p1 · ~p0</x:v>
      </x:c>
      <x:c r="C7" s="9" t="str">
        <x:v>Espera de un envase</x:v>
      </x:c>
    </x:row>
    <x:row r="8" ht="29" customHeight="1">
      <x:c r="A8" s="2" t="str">
        <x:v>P1</x:v>
      </x:c>
      <x:c r="B8" s="2" t="str">
        <x:v>~p1 · p0</x:v>
      </x:c>
      <x:c r="C8" s="2" t="str">
        <x:v>Llenando</x:v>
      </x:c>
    </x:row>
    <x:row r="9" ht="29" customHeight="1">
      <x:c r="A9" s="9" t="str">
        <x:v>P2</x:v>
      </x:c>
      <x:c r="B9" s="9" t="str">
        <x:v>p1 · ~p0</x:v>
      </x:c>
      <x:c r="C9" s="9" t="str">
        <x:v>Sellando</x:v>
      </x:c>
    </x:row>
    <x:row r="10" ht="29" customHeight="1">
      <x:c r="A10" s="2" t="str">
        <x:v>P3</x:v>
      </x:c>
      <x:c r="B10" s="2" t="str">
        <x:v>p1 · p0</x:v>
      </x:c>
      <x:c r="C10" s="2" t="str">
        <x:v>Inspección y espera de retiro</x:v>
      </x:c>
    </x:row>
    <x:row r="11" ht="29" customHeight="1">
      <x:c r="A11" s="9" t="str">
        <x:v>B0</x:v>
      </x:c>
      <x:c r="B11" s="9" t="str">
        <x:v>~b1 · ~b0</x:v>
      </x:c>
      <x:c r="C11" s="9" t="str">
        <x:v>Espera de resultado</x:v>
      </x:c>
    </x:row>
    <x:row r="12" ht="29" customHeight="1">
      <x:c r="A12" s="2" t="str">
        <x:v>B1</x:v>
      </x:c>
      <x:c r="B12" s="2" t="str">
        <x:v>~b1 · b0</x:v>
      </x:c>
      <x:c r="C12" s="2" t="str">
        <x:v>Retiro de envase aceptado</x:v>
      </x:c>
    </x:row>
    <x:row r="13" ht="29" customHeight="1">
      <x:c r="A13" s="9" t="str">
        <x:v>B2</x:v>
      </x:c>
      <x:c r="B13" s="9" t="str">
        <x:v>b1 · ~b0</x:v>
      </x:c>
      <x:c r="C13" s="9" t="str">
        <x:v>Retiro de envase rechazado</x:v>
      </x:c>
    </x:row>
    <x:row r="14" ht="29" customHeight="1">
      <x:c r="A14" s="2" t="str">
        <x:v>B3</x:v>
      </x:c>
      <x:c r="B14" s="2" t="str">
        <x:v>b1 · b0</x:v>
      </x:c>
      <x:c r="C14" s="2" t="str">
        <x:v>Rearme</x:v>
      </x:c>
    </x:row>
    <x:row r="15" ht="29" customHeight="1">
      <x:c r="A15" s="9" t="str">
        <x:v>p1+</x:v>
      </x:c>
      <x:c r="B15" s="9" t="str">
        <x:v>P1 · L + P2 + P3 · ~F</x:v>
      </x:c>
      <x:c r="C15" s="9" t="str">
        <x:v>Siguiente bit p1, sin reinicio</x:v>
      </x:c>
    </x:row>
    <x:row r="16" ht="29" customHeight="1">
      <x:c r="A16" s="2" t="str">
        <x:v>p0+</x:v>
      </x:c>
      <x:c r="B16" s="2" t="str">
        <x:v>P0 · E + P1 · ~L + P2 · S + P3 · ~F</x:v>
      </x:c>
      <x:c r="C16" s="2" t="str">
        <x:v>Siguiente bit p0, sin reinicio</x:v>
      </x:c>
    </x:row>
    <x:row r="17" ht="29" customHeight="1">
      <x:c r="A17" s="9" t="str">
        <x:v>b1+</x:v>
      </x:c>
      <x:c r="B17" s="9" t="str">
        <x:v>B0 · Q · I · ~G + B1 · R + B2 + B3 · Q</x:v>
      </x:c>
      <x:c r="C17" s="9" t="str">
        <x:v>Siguiente bit b1, sin reinicio</x:v>
      </x:c>
    </x:row>
    <x:row r="18" ht="29" customHeight="1">
      <x:c r="A18" s="2" t="str">
        <x:v>b0+</x:v>
      </x:c>
      <x:c r="B18" s="2" t="str">
        <x:v>B0 · Q · I · G + B1 + B2 · R + B3 · Q</x:v>
      </x:c>
      <x:c r="C18" s="2" t="str">
        <x:v>Siguiente bit b0, sin reinicio</x:v>
      </x:c>
    </x:row>
    <x:row r="19" ht="29" customHeight="1">
      <x:c r="A19" s="9" t="str">
        <x:v>LL</x:v>
      </x:c>
      <x:c r="B19" s="9" t="str">
        <x:v>P1</x:v>
      </x:c>
      <x:c r="C19" s="9" t="str">
        <x:v>Solo depende del estado Moore</x:v>
      </x:c>
    </x:row>
    <x:row r="20" ht="29" customHeight="1">
      <x:c r="A20" s="2" t="str">
        <x:v>SL</x:v>
      </x:c>
      <x:c r="B20" s="2" t="str">
        <x:v>P2</x:v>
      </x:c>
      <x:c r="C20" s="2" t="str">
        <x:v>Solo depende del estado Moore</x:v>
      </x:c>
    </x:row>
    <x:row r="21" ht="29" customHeight="1">
      <x:c r="A21" s="9" t="str">
        <x:v>INS = Q</x:v>
      </x:c>
      <x:c r="B21" s="9" t="str">
        <x:v>P3</x:v>
      </x:c>
      <x:c r="C21" s="9" t="str">
        <x:v>Solo depende del estado Moore</x:v>
      </x:c>
    </x:row>
    <x:row r="22" ht="29" customHeight="1">
      <x:c r="A22" s="2" t="str">
        <x:v>AV</x:v>
      </x:c>
      <x:c r="B22" s="2" t="str">
        <x:v>(B1 + B2) · ~R</x:v>
      </x:c>
      <x:c r="C22" s="2" t="str">
        <x:v>Cambia al cambiar R, aun antes del flanco</x:v>
      </x:c>
    </x:row>
    <x:row r="23" ht="29" customHeight="1">
      <x:c r="A23" s="9" t="str">
        <x:v>DV</x:v>
      </x:c>
      <x:c r="B23" s="9" t="str">
        <x:v>B2 · ~R</x:v>
      </x:c>
      <x:c r="C23" s="9" t="str">
        <x:v>Desvío hasta confirmar retiro</x:v>
      </x:c>
    </x:row>
    <x:row r="24" ht="29" customHeight="1">
      <x:c r="A24" s="2" t="str">
        <x:v>ERR</x:v>
      </x:c>
      <x:c r="B24" s="2" t="str">
        <x:v>B2</x:v>
      </x:c>
      <x:c r="C24" s="2" t="str">
        <x:v>Salida de estado dentro de un bloque con salidas Mealy</x:v>
      </x:c>
    </x:row>
    <x:row r="25" ht="29" customHeight="1">
      <x:c r="A25" s="9" t="str">
        <x:v>OK</x:v>
      </x:c>
      <x:c r="B25" s="9" t="str">
        <x:v>B1 · R</x:v>
      </x:c>
      <x:c r="C25" s="9" t="str">
        <x:v>Pulso de aceptación al confirmar retiro</x:v>
      </x:c>
    </x:row>
    <x:row r="26" ht="29" customHeight="1">
      <x:c r="A26" s="2" t="str">
        <x:v>F</x:v>
      </x:c>
      <x:c r="B26" s="2" t="str">
        <x:v>(B1 + B2) · R</x:v>
      </x:c>
      <x:c r="C26" s="2" t="str">
        <x:v>Finaliza cualquiera de las dos rutas</x:v>
      </x:c>
    </x:row>
    <x:row r="27" ht="29" customHeight="1">
      <x:c r="A27" s="9" t="str">
        <x:v>D_p1</x:v>
      </x:c>
      <x:c r="B27" s="9" t="str">
        <x:v>~RST · p1+</x:v>
      </x:c>
      <x:c r="C27" s="9" t="str">
        <x:v>Entrada D del flip-flop p1</x:v>
      </x:c>
    </x:row>
    <x:row r="28" ht="29" customHeight="1">
      <x:c r="A28" s="2" t="str">
        <x:v>D_p0</x:v>
      </x:c>
      <x:c r="B28" s="2" t="str">
        <x:v>~RST · p0+</x:v>
      </x:c>
      <x:c r="C28" s="2" t="str">
        <x:v>Entrada D del flip-flop p0</x:v>
      </x:c>
    </x:row>
    <x:row r="29" ht="29" customHeight="1">
      <x:c r="A29" s="9" t="str">
        <x:v>D_b1</x:v>
      </x:c>
      <x:c r="B29" s="9" t="str">
        <x:v>~RST · b1+</x:v>
      </x:c>
      <x:c r="C29" s="9" t="str">
        <x:v>Entrada D del flip-flop b1</x:v>
      </x:c>
    </x:row>
    <x:row r="30" ht="29" customHeight="1">
      <x:c r="A30" s="2" t="str">
        <x:v>D_b0</x:v>
      </x:c>
      <x:c r="B30" s="2" t="str">
        <x:v>~RST · b0+</x:v>
      </x:c>
      <x:c r="C30" s="2" t="str">
        <x:v>Entrada D del flip-flop b0</x:v>
      </x:c>
    </x:row>
    <x:row r="31" ht="29" customHeight="1">
      <x:c r="A31" s="2"/>
      <x:c r="B31" s="2"/>
      <x:c r="C31" s="2"/>
    </x:row>
    <x:row r="32" ht="23" customHeight="1">
      <x:c r="A32" s="2"/>
      <x:c r="B32" s="2"/>
      <x:c r="C32" s="2"/>
    </x:row>
    <x:row r="33" ht="23" customHeight="1">
      <x:c r="A33" s="4" t="str">
        <x:v>p1+ indica el siguiente valor de p1. D_p1 añade la prioridad de RST síncrono. Análogo para los otros bits.</x:v>
      </x:c>
      <x:c r="B33" s="2"/>
      <x:c r="C33" s="2"/>
    </x:row>
    <x:row r="34" ht="23" customHeight="1">
      <x:c r="A34" s="2"/>
      <x:c r="B34" s="2"/>
      <x:c r="C34" s="2"/>
    </x:row>
    <x:row r="35" ht="23" customHeight="1">
      <x:c r="A35" s="4" t="str">
        <x:v>Ecuaciones verificadas contra todas las combinaciones de las dos tablas. La simulación del circuito queda pendiente.</x:v>
      </x:c>
      <x:c r="B35" s="2"/>
      <x:c r="C35" s="2"/>
    </x:row>
    <x:row r="36" ht="23" customHeight="1">
      <x:c r="A36" s="2"/>
      <x:c r="B36" s="2"/>
      <x:c r="C36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3" hidden="0" customWidth="1"/>
    <x:col min="3" max="3" width="8.5" hidden="0" customWidth="1"/>
    <x:col min="4" max="4" width="8.5" hidden="0" customWidth="1"/>
    <x:col min="5" max="5" width="8.5" hidden="0" customWidth="1"/>
    <x:col min="6" max="6" width="8.5" hidden="0" customWidth="1"/>
    <x:col min="7" max="7" width="8.5" hidden="0" customWidth="1"/>
    <x:col min="8" max="8" width="8.5" hidden="0" customWidth="1"/>
    <x:col min="9" max="9" width="8.5" hidden="0" customWidth="1"/>
    <x:col min="10" max="10" width="8.5" hidden="0" customWidth="1"/>
    <x:col min="11" max="11" width="8.5" hidden="0" customWidth="1"/>
    <x:col min="12" max="12" width="8.5" hidden="0" customWidth="1"/>
    <x:col min="13" max="13" width="8.5" hidden="0" customWidth="1"/>
    <x:col min="14" max="14" width="8.5" hidden="0" customWidth="1"/>
    <x:col min="15" max="15" width="8.5" hidden="0" customWidth="1"/>
    <x:col min="16" max="16" width="8.5" hidden="0" customWidth="1"/>
    <x:col min="17" max="17" width="8.5" hidden="0" customWidth="1"/>
    <x:col min="18" max="18" width="8.5" hidden="0" customWidth="1"/>
    <x:col min="19" max="19" width="8.5" hidden="0" customWidth="1"/>
    <x:col min="20" max="20" width="8.5" hidden="0" customWidth="1"/>
  </x:cols>
  <x:sheetData>
    <x:row r="1" ht="23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Secuencias esperadas antes y después de cada flanco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23" customHeight="1">
      <x:c r="A3" s="4" t="str">
        <x:v>Cada fila muestra estado y entradas antes del flanco, salidas combinacionales y estado después del flanco. RST=0.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23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23" customHeight="1">
      <x:c r="A5" s="4" t="str">
        <x:v>Envase correcto. OK se activa una vez cuando se confirma el retiro.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</x:row>
    <x:row r="6" ht="35" customHeight="1">
      <x:c r="A6" s="8" t="str">
        <x:v>Paso</x:v>
      </x:c>
      <x:c r="B6" s="8" t="str">
        <x:v>Evento</x:v>
      </x:c>
      <x:c r="C6" s="8" t="str">
        <x:v>P antes</x:v>
      </x:c>
      <x:c r="D6" s="8" t="str">
        <x:v>B antes</x:v>
      </x:c>
      <x:c r="E6" s="8" t="str">
        <x:v>E</x:v>
      </x:c>
      <x:c r="F6" s="8" t="str">
        <x:v>L</x:v>
      </x:c>
      <x:c r="G6" s="8" t="str">
        <x:v>S</x:v>
      </x:c>
      <x:c r="H6" s="8" t="str">
        <x:v>I</x:v>
      </x:c>
      <x:c r="I6" s="8" t="str">
        <x:v>G</x:v>
      </x:c>
      <x:c r="J6" s="8" t="str">
        <x:v>R</x:v>
      </x:c>
      <x:c r="K6" s="8" t="str">
        <x:v>LL</x:v>
      </x:c>
      <x:c r="L6" s="8" t="str">
        <x:v>SL</x:v>
      </x:c>
      <x:c r="M6" s="8" t="str">
        <x:v>Q</x:v>
      </x:c>
      <x:c r="N6" s="8" t="str">
        <x:v>AV</x:v>
      </x:c>
      <x:c r="O6" s="8" t="str">
        <x:v>DV</x:v>
      </x:c>
      <x:c r="P6" s="8" t="str">
        <x:v>ERR</x:v>
      </x:c>
      <x:c r="Q6" s="8" t="str">
        <x:v>OK</x:v>
      </x:c>
      <x:c r="R6" s="8" t="str">
        <x:v>F</x:v>
      </x:c>
      <x:c r="S6" s="8" t="str">
        <x:v>P después</x:v>
      </x:c>
      <x:c r="T6" s="8" t="str">
        <x:v>B después</x:v>
      </x:c>
    </x:row>
    <x:row r="7" ht="30" customHeight="1">
      <x:c r="A7" s="2" t="n">
        <x:v>0</x:v>
      </x:c>
      <x:c r="B7" s="2" t="str">
        <x:v>Reposo</x:v>
      </x:c>
      <x:c r="C7" s="14" t="str">
        <x:v>P0</x:v>
      </x:c>
      <x:c r="D7" s="14" t="str">
        <x:v>B0</x:v>
      </x:c>
      <x:c r="E7" s="14" t="n">
        <x:v>0</x:v>
      </x:c>
      <x:c r="F7" s="14" t="n">
        <x:v>0</x:v>
      </x:c>
      <x:c r="G7" s="14" t="n">
        <x:v>0</x:v>
      </x:c>
      <x:c r="H7" s="14" t="n">
        <x:v>0</x:v>
      </x:c>
      <x:c r="I7" s="14" t="n">
        <x:v>0</x:v>
      </x:c>
      <x:c r="J7" s="14" t="n">
        <x:v>0</x:v>
      </x:c>
      <x:c r="K7" s="14" t="n">
        <x:v>0</x:v>
      </x:c>
      <x:c r="L7" s="14" t="n">
        <x:v>0</x:v>
      </x:c>
      <x:c r="M7" s="14" t="n">
        <x:v>0</x:v>
      </x:c>
      <x:c r="N7" s="14" t="n">
        <x:v>0</x:v>
      </x:c>
      <x:c r="O7" s="14" t="n">
        <x:v>0</x:v>
      </x:c>
      <x:c r="P7" s="14" t="n">
        <x:v>0</x:v>
      </x:c>
      <x:c r="Q7" s="14" t="n">
        <x:v>0</x:v>
      </x:c>
      <x:c r="R7" s="14" t="n">
        <x:v>0</x:v>
      </x:c>
      <x:c r="S7" s="14" t="str">
        <x:v>P0</x:v>
      </x:c>
      <x:c r="T7" s="14" t="str">
        <x:v>B0</x:v>
      </x:c>
    </x:row>
    <x:row r="8" ht="30" customHeight="1">
      <x:c r="A8" s="9" t="n">
        <x:v>1</x:v>
      </x:c>
      <x:c r="B8" s="9" t="str">
        <x:v>Llega envase</x:v>
      </x:c>
      <x:c r="C8" s="15" t="str">
        <x:v>P0</x:v>
      </x:c>
      <x:c r="D8" s="15" t="str">
        <x:v>B0</x:v>
      </x:c>
      <x:c r="E8" s="15" t="n">
        <x:v>1</x:v>
      </x:c>
      <x:c r="F8" s="15" t="n">
        <x:v>0</x:v>
      </x:c>
      <x:c r="G8" s="15" t="n">
        <x:v>0</x:v>
      </x:c>
      <x:c r="H8" s="15" t="n">
        <x:v>0</x:v>
      </x:c>
      <x:c r="I8" s="15" t="n">
        <x:v>0</x:v>
      </x:c>
      <x:c r="J8" s="15" t="n">
        <x:v>0</x:v>
      </x:c>
      <x:c r="K8" s="15" t="n">
        <x:v>0</x:v>
      </x:c>
      <x:c r="L8" s="15" t="n">
        <x:v>0</x:v>
      </x:c>
      <x:c r="M8" s="15" t="n">
        <x:v>0</x:v>
      </x:c>
      <x:c r="N8" s="15" t="n">
        <x:v>0</x:v>
      </x:c>
      <x:c r="O8" s="15" t="n">
        <x:v>0</x:v>
      </x:c>
      <x:c r="P8" s="15" t="n">
        <x:v>0</x:v>
      </x:c>
      <x:c r="Q8" s="15" t="n">
        <x:v>0</x:v>
      </x:c>
      <x:c r="R8" s="15" t="n">
        <x:v>0</x:v>
      </x:c>
      <x:c r="S8" s="15" t="str">
        <x:v>P1</x:v>
      </x:c>
      <x:c r="T8" s="15" t="str">
        <x:v>B0</x:v>
      </x:c>
    </x:row>
    <x:row r="9" ht="30" customHeight="1">
      <x:c r="A9" s="2" t="n">
        <x:v>2</x:v>
      </x:c>
      <x:c r="B9" s="2" t="str">
        <x:v>Espera llenado</x:v>
      </x:c>
      <x:c r="C9" s="14" t="str">
        <x:v>P1</x:v>
      </x:c>
      <x:c r="D9" s="14" t="str">
        <x:v>B0</x:v>
      </x:c>
      <x:c r="E9" s="14" t="n">
        <x:v>1</x:v>
      </x:c>
      <x:c r="F9" s="14" t="n">
        <x:v>0</x:v>
      </x:c>
      <x:c r="G9" s="14" t="n">
        <x:v>0</x:v>
      </x:c>
      <x:c r="H9" s="14" t="n">
        <x:v>0</x:v>
      </x:c>
      <x:c r="I9" s="14" t="n">
        <x:v>0</x:v>
      </x:c>
      <x:c r="J9" s="14" t="n">
        <x:v>0</x:v>
      </x:c>
      <x:c r="K9" s="14" t="n">
        <x:v>1</x:v>
      </x:c>
      <x:c r="L9" s="14" t="n">
        <x:v>0</x:v>
      </x:c>
      <x:c r="M9" s="14" t="n">
        <x:v>0</x:v>
      </x:c>
      <x:c r="N9" s="14" t="n">
        <x:v>0</x:v>
      </x:c>
      <x:c r="O9" s="14" t="n">
        <x:v>0</x:v>
      </x:c>
      <x:c r="P9" s="14" t="n">
        <x:v>0</x:v>
      </x:c>
      <x:c r="Q9" s="14" t="n">
        <x:v>0</x:v>
      </x:c>
      <x:c r="R9" s="14" t="n">
        <x:v>0</x:v>
      </x:c>
      <x:c r="S9" s="14" t="str">
        <x:v>P1</x:v>
      </x:c>
      <x:c r="T9" s="14" t="str">
        <x:v>B0</x:v>
      </x:c>
    </x:row>
    <x:row r="10" ht="30" customHeight="1">
      <x:c r="A10" s="9" t="n">
        <x:v>3</x:v>
      </x:c>
      <x:c r="B10" s="9" t="str">
        <x:v>Termina llenado</x:v>
      </x:c>
      <x:c r="C10" s="15" t="str">
        <x:v>P1</x:v>
      </x:c>
      <x:c r="D10" s="15" t="str">
        <x:v>B0</x:v>
      </x:c>
      <x:c r="E10" s="15" t="n">
        <x:v>1</x:v>
      </x:c>
      <x:c r="F10" s="15" t="n">
        <x:v>1</x:v>
      </x:c>
      <x:c r="G10" s="15" t="n">
        <x:v>0</x:v>
      </x:c>
      <x:c r="H10" s="15" t="n">
        <x:v>0</x:v>
      </x:c>
      <x:c r="I10" s="15" t="n">
        <x:v>0</x:v>
      </x:c>
      <x:c r="J10" s="15" t="n">
        <x:v>0</x:v>
      </x:c>
      <x:c r="K10" s="15" t="n">
        <x:v>1</x:v>
      </x:c>
      <x:c r="L10" s="15" t="n">
        <x:v>0</x:v>
      </x:c>
      <x:c r="M10" s="15" t="n">
        <x:v>0</x:v>
      </x:c>
      <x:c r="N10" s="15" t="n">
        <x:v>0</x:v>
      </x:c>
      <x:c r="O10" s="15" t="n">
        <x:v>0</x:v>
      </x:c>
      <x:c r="P10" s="15" t="n">
        <x:v>0</x:v>
      </x:c>
      <x:c r="Q10" s="15" t="n">
        <x:v>0</x:v>
      </x:c>
      <x:c r="R10" s="15" t="n">
        <x:v>0</x:v>
      </x:c>
      <x:c r="S10" s="15" t="str">
        <x:v>P2</x:v>
      </x:c>
      <x:c r="T10" s="15" t="str">
        <x:v>B0</x:v>
      </x:c>
    </x:row>
    <x:row r="11" ht="30" customHeight="1">
      <x:c r="A11" s="2" t="n">
        <x:v>4</x:v>
      </x:c>
      <x:c r="B11" s="2" t="str">
        <x:v>Espera sellado</x:v>
      </x:c>
      <x:c r="C11" s="14" t="str">
        <x:v>P2</x:v>
      </x:c>
      <x:c r="D11" s="14" t="str">
        <x:v>B0</x:v>
      </x:c>
      <x:c r="E11" s="14" t="n">
        <x:v>1</x:v>
      </x:c>
      <x:c r="F11" s="14" t="n">
        <x:v>0</x:v>
      </x:c>
      <x:c r="G11" s="14" t="n">
        <x:v>0</x:v>
      </x:c>
      <x:c r="H11" s="14" t="n">
        <x:v>0</x:v>
      </x:c>
      <x:c r="I11" s="14" t="n">
        <x:v>0</x:v>
      </x:c>
      <x:c r="J11" s="14" t="n">
        <x:v>0</x:v>
      </x:c>
      <x:c r="K11" s="14" t="n">
        <x:v>0</x:v>
      </x:c>
      <x:c r="L11" s="14" t="n">
        <x:v>1</x:v>
      </x:c>
      <x:c r="M11" s="14" t="n">
        <x:v>0</x:v>
      </x:c>
      <x:c r="N11" s="14" t="n">
        <x:v>0</x:v>
      </x:c>
      <x:c r="O11" s="14" t="n">
        <x:v>0</x:v>
      </x:c>
      <x:c r="P11" s="14" t="n">
        <x:v>0</x:v>
      </x:c>
      <x:c r="Q11" s="14" t="n">
        <x:v>0</x:v>
      </x:c>
      <x:c r="R11" s="14" t="n">
        <x:v>0</x:v>
      </x:c>
      <x:c r="S11" s="14" t="str">
        <x:v>P2</x:v>
      </x:c>
      <x:c r="T11" s="14" t="str">
        <x:v>B0</x:v>
      </x:c>
    </x:row>
    <x:row r="12" ht="30" customHeight="1">
      <x:c r="A12" s="9" t="n">
        <x:v>5</x:v>
      </x:c>
      <x:c r="B12" s="9" t="str">
        <x:v>Termina sellado</x:v>
      </x:c>
      <x:c r="C12" s="15" t="str">
        <x:v>P2</x:v>
      </x:c>
      <x:c r="D12" s="15" t="str">
        <x:v>B0</x:v>
      </x:c>
      <x:c r="E12" s="15" t="n">
        <x:v>1</x:v>
      </x:c>
      <x:c r="F12" s="15" t="n">
        <x:v>0</x:v>
      </x:c>
      <x:c r="G12" s="15" t="n">
        <x:v>1</x:v>
      </x:c>
      <x:c r="H12" s="15" t="n">
        <x:v>0</x:v>
      </x:c>
      <x:c r="I12" s="15" t="n">
        <x:v>0</x:v>
      </x:c>
      <x:c r="J12" s="15" t="n">
        <x:v>0</x:v>
      </x:c>
      <x:c r="K12" s="15" t="n">
        <x:v>0</x:v>
      </x:c>
      <x:c r="L12" s="15" t="n">
        <x:v>1</x:v>
      </x:c>
      <x:c r="M12" s="15" t="n">
        <x:v>0</x:v>
      </x:c>
      <x:c r="N12" s="15" t="n">
        <x:v>0</x:v>
      </x:c>
      <x:c r="O12" s="15" t="n">
        <x:v>0</x:v>
      </x:c>
      <x:c r="P12" s="15" t="n">
        <x:v>0</x:v>
      </x:c>
      <x:c r="Q12" s="15" t="n">
        <x:v>0</x:v>
      </x:c>
      <x:c r="R12" s="15" t="n">
        <x:v>0</x:v>
      </x:c>
      <x:c r="S12" s="15" t="str">
        <x:v>P3</x:v>
      </x:c>
      <x:c r="T12" s="15" t="str">
        <x:v>B0</x:v>
      </x:c>
    </x:row>
    <x:row r="13" ht="30" customHeight="1">
      <x:c r="A13" s="2" t="n">
        <x:v>6</x:v>
      </x:c>
      <x:c r="B13" s="2" t="str">
        <x:v>Espera inspección</x:v>
      </x:c>
      <x:c r="C13" s="14" t="str">
        <x:v>P3</x:v>
      </x:c>
      <x:c r="D13" s="14" t="str">
        <x:v>B0</x:v>
      </x:c>
      <x:c r="E13" s="14" t="n">
        <x:v>1</x:v>
      </x:c>
      <x:c r="F13" s="14" t="n">
        <x:v>0</x:v>
      </x:c>
      <x:c r="G13" s="14" t="n">
        <x:v>0</x:v>
      </x:c>
      <x:c r="H13" s="14" t="n">
        <x:v>0</x:v>
      </x:c>
      <x:c r="I13" s="14" t="n">
        <x:v>0</x:v>
      </x:c>
      <x:c r="J13" s="14" t="n">
        <x:v>0</x:v>
      </x:c>
      <x:c r="K13" s="14" t="n">
        <x:v>0</x:v>
      </x:c>
      <x:c r="L13" s="14" t="n">
        <x:v>0</x:v>
      </x:c>
      <x:c r="M13" s="14" t="n">
        <x:v>1</x:v>
      </x:c>
      <x:c r="N13" s="14" t="n">
        <x:v>0</x:v>
      </x:c>
      <x:c r="O13" s="14" t="n">
        <x:v>0</x:v>
      </x:c>
      <x:c r="P13" s="14" t="n">
        <x:v>0</x:v>
      </x:c>
      <x:c r="Q13" s="14" t="n">
        <x:v>0</x:v>
      </x:c>
      <x:c r="R13" s="14" t="n">
        <x:v>0</x:v>
      </x:c>
      <x:c r="S13" s="14" t="str">
        <x:v>P3</x:v>
      </x:c>
      <x:c r="T13" s="14" t="str">
        <x:v>B0</x:v>
      </x:c>
    </x:row>
    <x:row r="14" ht="30" customHeight="1">
      <x:c r="A14" s="9" t="n">
        <x:v>7</x:v>
      </x:c>
      <x:c r="B14" s="9" t="str">
        <x:v>Resultado de inspección</x:v>
      </x:c>
      <x:c r="C14" s="15" t="str">
        <x:v>P3</x:v>
      </x:c>
      <x:c r="D14" s="15" t="str">
        <x:v>B0</x:v>
      </x:c>
      <x:c r="E14" s="15" t="n">
        <x:v>1</x:v>
      </x:c>
      <x:c r="F14" s="15" t="n">
        <x:v>0</x:v>
      </x:c>
      <x:c r="G14" s="15" t="n">
        <x:v>0</x:v>
      </x:c>
      <x:c r="H14" s="15" t="n">
        <x:v>1</x:v>
      </x:c>
      <x:c r="I14" s="15" t="n">
        <x:v>1</x:v>
      </x:c>
      <x:c r="J14" s="15" t="n">
        <x:v>0</x:v>
      </x:c>
      <x:c r="K14" s="15" t="n">
        <x:v>0</x:v>
      </x:c>
      <x:c r="L14" s="15" t="n">
        <x:v>0</x:v>
      </x:c>
      <x:c r="M14" s="15" t="n">
        <x:v>1</x:v>
      </x:c>
      <x:c r="N14" s="15" t="n">
        <x:v>0</x:v>
      </x:c>
      <x:c r="O14" s="15" t="n">
        <x:v>0</x:v>
      </x:c>
      <x:c r="P14" s="15" t="n">
        <x:v>0</x:v>
      </x:c>
      <x:c r="Q14" s="15" t="n">
        <x:v>0</x:v>
      </x:c>
      <x:c r="R14" s="15" t="n">
        <x:v>0</x:v>
      </x:c>
      <x:c r="S14" s="15" t="str">
        <x:v>P3</x:v>
      </x:c>
      <x:c r="T14" s="15" t="str">
        <x:v>B1</x:v>
      </x:c>
    </x:row>
    <x:row r="15" ht="30" customHeight="1">
      <x:c r="A15" s="2" t="n">
        <x:v>8</x:v>
      </x:c>
      <x:c r="B15" s="2" t="str">
        <x:v>Sale por ruta elegida</x:v>
      </x:c>
      <x:c r="C15" s="14" t="str">
        <x:v>P3</x:v>
      </x:c>
      <x:c r="D15" s="14" t="str">
        <x:v>B1</x:v>
      </x:c>
      <x:c r="E15" s="14" t="n">
        <x:v>1</x:v>
      </x:c>
      <x:c r="F15" s="14" t="n">
        <x:v>0</x:v>
      </x:c>
      <x:c r="G15" s="14" t="n">
        <x:v>0</x:v>
      </x:c>
      <x:c r="H15" s="14" t="n">
        <x:v>0</x:v>
      </x:c>
      <x:c r="I15" s="14" t="n">
        <x:v>0</x:v>
      </x:c>
      <x:c r="J15" s="14" t="n">
        <x:v>0</x:v>
      </x:c>
      <x:c r="K15" s="14" t="n">
        <x:v>0</x:v>
      </x:c>
      <x:c r="L15" s="14" t="n">
        <x:v>0</x:v>
      </x:c>
      <x:c r="M15" s="14" t="n">
        <x:v>1</x:v>
      </x:c>
      <x:c r="N15" s="14" t="n">
        <x:v>1</x:v>
      </x:c>
      <x:c r="O15" s="14" t="n">
        <x:v>0</x:v>
      </x:c>
      <x:c r="P15" s="14" t="n">
        <x:v>0</x:v>
      </x:c>
      <x:c r="Q15" s="14" t="n">
        <x:v>0</x:v>
      </x:c>
      <x:c r="R15" s="14" t="n">
        <x:v>0</x:v>
      </x:c>
      <x:c r="S15" s="14" t="str">
        <x:v>P3</x:v>
      </x:c>
      <x:c r="T15" s="14" t="str">
        <x:v>B1</x:v>
      </x:c>
    </x:row>
    <x:row r="16" ht="30" customHeight="1">
      <x:c r="A16" s="9" t="n">
        <x:v>9</x:v>
      </x:c>
      <x:c r="B16" s="9" t="str">
        <x:v>Retiro confirmado</x:v>
      </x:c>
      <x:c r="C16" s="15" t="str">
        <x:v>P3</x:v>
      </x:c>
      <x:c r="D16" s="15" t="str">
        <x:v>B1</x:v>
      </x:c>
      <x:c r="E16" s="15" t="n">
        <x:v>0</x:v>
      </x:c>
      <x:c r="F16" s="15" t="n">
        <x:v>0</x:v>
      </x:c>
      <x:c r="G16" s="15" t="n">
        <x:v>0</x:v>
      </x:c>
      <x:c r="H16" s="15" t="n">
        <x:v>0</x:v>
      </x:c>
      <x:c r="I16" s="15" t="n">
        <x:v>0</x:v>
      </x:c>
      <x:c r="J16" s="15" t="n">
        <x:v>1</x:v>
      </x:c>
      <x:c r="K16" s="15" t="n">
        <x:v>0</x:v>
      </x:c>
      <x:c r="L16" s="15" t="n">
        <x:v>0</x:v>
      </x:c>
      <x:c r="M16" s="15" t="n">
        <x:v>1</x:v>
      </x:c>
      <x:c r="N16" s="15" t="n">
        <x:v>0</x:v>
      </x:c>
      <x:c r="O16" s="15" t="n">
        <x:v>0</x:v>
      </x:c>
      <x:c r="P16" s="15" t="n">
        <x:v>0</x:v>
      </x:c>
      <x:c r="Q16" s="15" t="n">
        <x:v>1</x:v>
      </x:c>
      <x:c r="R16" s="15" t="n">
        <x:v>1</x:v>
      </x:c>
      <x:c r="S16" s="15" t="str">
        <x:v>P0</x:v>
      </x:c>
      <x:c r="T16" s="15" t="str">
        <x:v>B3</x:v>
      </x:c>
    </x:row>
    <x:row r="17" ht="30" customHeight="1">
      <x:c r="A17" s="2" t="n">
        <x:v>10</x:v>
      </x:c>
      <x:c r="B17" s="2" t="str">
        <x:v>Rearme de clasificación</x:v>
      </x:c>
      <x:c r="C17" s="14" t="str">
        <x:v>P0</x:v>
      </x:c>
      <x:c r="D17" s="14" t="str">
        <x:v>B3</x:v>
      </x:c>
      <x:c r="E17" s="14" t="n">
        <x:v>0</x:v>
      </x:c>
      <x:c r="F17" s="14" t="n">
        <x:v>0</x:v>
      </x:c>
      <x:c r="G17" s="14" t="n">
        <x:v>0</x:v>
      </x:c>
      <x:c r="H17" s="14" t="n">
        <x:v>0</x:v>
      </x:c>
      <x:c r="I17" s="14" t="n">
        <x:v>0</x:v>
      </x:c>
      <x:c r="J17" s="14" t="n">
        <x:v>0</x:v>
      </x:c>
      <x:c r="K17" s="14" t="n">
        <x:v>0</x:v>
      </x:c>
      <x:c r="L17" s="14" t="n">
        <x:v>0</x:v>
      </x:c>
      <x:c r="M17" s="14" t="n">
        <x:v>0</x:v>
      </x:c>
      <x:c r="N17" s="14" t="n">
        <x:v>0</x:v>
      </x:c>
      <x:c r="O17" s="14" t="n">
        <x:v>0</x:v>
      </x:c>
      <x:c r="P17" s="14" t="n">
        <x:v>0</x:v>
      </x:c>
      <x:c r="Q17" s="14" t="n">
        <x:v>0</x:v>
      </x:c>
      <x:c r="R17" s="14" t="n">
        <x:v>0</x:v>
      </x:c>
      <x:c r="S17" s="14" t="str">
        <x:v>P0</x:v>
      </x:c>
      <x:c r="T17" s="14" t="str">
        <x:v>B0</x:v>
      </x:c>
    </x:row>
    <x:row r="18" ht="30" customHeight="1">
      <x:c r="A18" s="9" t="n">
        <x:v>11</x:v>
      </x:c>
      <x:c r="B18" s="9" t="str">
        <x:v>Listo para otro envase</x:v>
      </x:c>
      <x:c r="C18" s="15" t="str">
        <x:v>P0</x:v>
      </x:c>
      <x:c r="D18" s="15" t="str">
        <x:v>B0</x:v>
      </x:c>
      <x:c r="E18" s="15" t="n">
        <x:v>0</x:v>
      </x:c>
      <x:c r="F18" s="15" t="n">
        <x:v>0</x:v>
      </x:c>
      <x:c r="G18" s="15" t="n">
        <x:v>0</x:v>
      </x:c>
      <x:c r="H18" s="15" t="n">
        <x:v>0</x:v>
      </x:c>
      <x:c r="I18" s="15" t="n">
        <x:v>0</x:v>
      </x:c>
      <x:c r="J18" s="15" t="n">
        <x:v>0</x:v>
      </x:c>
      <x:c r="K18" s="15" t="n">
        <x:v>0</x:v>
      </x:c>
      <x:c r="L18" s="15" t="n">
        <x:v>0</x:v>
      </x:c>
      <x:c r="M18" s="15" t="n">
        <x:v>0</x:v>
      </x:c>
      <x:c r="N18" s="15" t="n">
        <x:v>0</x:v>
      </x:c>
      <x:c r="O18" s="15" t="n">
        <x:v>0</x:v>
      </x:c>
      <x:c r="P18" s="15" t="n">
        <x:v>0</x:v>
      </x:c>
      <x:c r="Q18" s="15" t="n">
        <x:v>0</x:v>
      </x:c>
      <x:c r="R18" s="15" t="n">
        <x:v>0</x:v>
      </x:c>
      <x:c r="S18" s="15" t="str">
        <x:v>P0</x:v>
      </x:c>
      <x:c r="T18" s="15" t="str">
        <x:v>B0</x:v>
      </x:c>
    </x:row>
    <x:row r="19" ht="23" customHeight="1">
      <x:c r="A19" s="2"/>
      <x:c r="B19" s="2"/>
      <x:c r="C19" s="14"/>
      <x:c r="D19" s="14"/>
      <x:c r="E19" s="14"/>
      <x:c r="F19" s="14"/>
      <x:c r="G19" s="14"/>
      <x:c r="H19" s="14"/>
      <x:c r="I19" s="14"/>
      <x:c r="J19" s="14"/>
      <x:c r="K19" s="14"/>
      <x:c r="L19" s="14"/>
      <x:c r="M19" s="14"/>
      <x:c r="N19" s="14"/>
      <x:c r="O19" s="14"/>
      <x:c r="P19" s="14"/>
      <x:c r="Q19" s="14"/>
      <x:c r="R19" s="14"/>
      <x:c r="S19" s="14"/>
      <x:c r="T19" s="14"/>
    </x:row>
    <x:row r="20" ht="23" customHeight="1">
      <x:c r="A20" s="2"/>
      <x:c r="B20" s="2"/>
      <x:c r="C20" s="14"/>
      <x:c r="D20" s="14"/>
      <x:c r="E20" s="14"/>
      <x:c r="F20" s="14"/>
      <x:c r="G20" s="14"/>
      <x:c r="H20" s="14"/>
      <x:c r="I20" s="14"/>
      <x:c r="J20" s="14"/>
      <x:c r="K20" s="14"/>
      <x:c r="L20" s="14"/>
      <x:c r="M20" s="14"/>
      <x:c r="N20" s="14"/>
      <x:c r="O20" s="14"/>
      <x:c r="P20" s="14"/>
      <x:c r="Q20" s="14"/>
      <x:c r="R20" s="14"/>
      <x:c r="S20" s="14"/>
      <x:c r="T20" s="14"/>
    </x:row>
    <x:row r="21" ht="23" customHeight="1">
      <x:c r="A21" s="4" t="str">
        <x:v>Envase defectuoso. DV aparta el envase, ERR indica rechazo y OK permanece en 0.</x:v>
      </x:c>
      <x:c r="B21" s="2"/>
      <x:c r="C21" s="14"/>
      <x:c r="D21" s="14"/>
      <x:c r="E21" s="14"/>
      <x:c r="F21" s="14"/>
      <x:c r="G21" s="14"/>
      <x:c r="H21" s="14"/>
      <x:c r="I21" s="14"/>
      <x:c r="J21" s="14"/>
      <x:c r="K21" s="14"/>
      <x:c r="L21" s="14"/>
      <x:c r="M21" s="14"/>
      <x:c r="N21" s="14"/>
      <x:c r="O21" s="14"/>
      <x:c r="P21" s="14"/>
      <x:c r="Q21" s="14"/>
      <x:c r="R21" s="14"/>
      <x:c r="S21" s="14"/>
      <x:c r="T21" s="14"/>
    </x:row>
    <x:row r="22" ht="35" customHeight="1">
      <x:c r="A22" s="8" t="str">
        <x:v>Paso</x:v>
      </x:c>
      <x:c r="B22" s="8" t="str">
        <x:v>Evento</x:v>
      </x:c>
      <x:c r="C22" s="8" t="str">
        <x:v>P antes</x:v>
      </x:c>
      <x:c r="D22" s="8" t="str">
        <x:v>B antes</x:v>
      </x:c>
      <x:c r="E22" s="8" t="str">
        <x:v>E</x:v>
      </x:c>
      <x:c r="F22" s="8" t="str">
        <x:v>L</x:v>
      </x:c>
      <x:c r="G22" s="8" t="str">
        <x:v>S</x:v>
      </x:c>
      <x:c r="H22" s="8" t="str">
        <x:v>I</x:v>
      </x:c>
      <x:c r="I22" s="8" t="str">
        <x:v>G</x:v>
      </x:c>
      <x:c r="J22" s="8" t="str">
        <x:v>R</x:v>
      </x:c>
      <x:c r="K22" s="8" t="str">
        <x:v>LL</x:v>
      </x:c>
      <x:c r="L22" s="8" t="str">
        <x:v>SL</x:v>
      </x:c>
      <x:c r="M22" s="8" t="str">
        <x:v>Q</x:v>
      </x:c>
      <x:c r="N22" s="8" t="str">
        <x:v>AV</x:v>
      </x:c>
      <x:c r="O22" s="8" t="str">
        <x:v>DV</x:v>
      </x:c>
      <x:c r="P22" s="8" t="str">
        <x:v>ERR</x:v>
      </x:c>
      <x:c r="Q22" s="8" t="str">
        <x:v>OK</x:v>
      </x:c>
      <x:c r="R22" s="8" t="str">
        <x:v>F</x:v>
      </x:c>
      <x:c r="S22" s="8" t="str">
        <x:v>P después</x:v>
      </x:c>
      <x:c r="T22" s="8" t="str">
        <x:v>B después</x:v>
      </x:c>
    </x:row>
    <x:row r="23" ht="30" customHeight="1">
      <x:c r="A23" s="2" t="n">
        <x:v>0</x:v>
      </x:c>
      <x:c r="B23" s="2" t="str">
        <x:v>Reposo</x:v>
      </x:c>
      <x:c r="C23" s="14" t="str">
        <x:v>P0</x:v>
      </x:c>
      <x:c r="D23" s="14" t="str">
        <x:v>B0</x:v>
      </x:c>
      <x:c r="E23" s="14" t="n">
        <x:v>0</x:v>
      </x:c>
      <x:c r="F23" s="14" t="n">
        <x:v>0</x:v>
      </x:c>
      <x:c r="G23" s="14" t="n">
        <x:v>0</x:v>
      </x:c>
      <x:c r="H23" s="14" t="n">
        <x:v>0</x:v>
      </x:c>
      <x:c r="I23" s="14" t="n">
        <x:v>0</x:v>
      </x:c>
      <x:c r="J23" s="14" t="n">
        <x:v>0</x:v>
      </x:c>
      <x:c r="K23" s="14" t="n">
        <x:v>0</x:v>
      </x:c>
      <x:c r="L23" s="14" t="n">
        <x:v>0</x:v>
      </x:c>
      <x:c r="M23" s="14" t="n">
        <x:v>0</x:v>
      </x:c>
      <x:c r="N23" s="14" t="n">
        <x:v>0</x:v>
      </x:c>
      <x:c r="O23" s="14" t="n">
        <x:v>0</x:v>
      </x:c>
      <x:c r="P23" s="14" t="n">
        <x:v>0</x:v>
      </x:c>
      <x:c r="Q23" s="14" t="n">
        <x:v>0</x:v>
      </x:c>
      <x:c r="R23" s="14" t="n">
        <x:v>0</x:v>
      </x:c>
      <x:c r="S23" s="14" t="str">
        <x:v>P0</x:v>
      </x:c>
      <x:c r="T23" s="14" t="str">
        <x:v>B0</x:v>
      </x:c>
    </x:row>
    <x:row r="24" ht="30" customHeight="1">
      <x:c r="A24" s="9" t="n">
        <x:v>1</x:v>
      </x:c>
      <x:c r="B24" s="9" t="str">
        <x:v>Llega envase</x:v>
      </x:c>
      <x:c r="C24" s="15" t="str">
        <x:v>P0</x:v>
      </x:c>
      <x:c r="D24" s="15" t="str">
        <x:v>B0</x:v>
      </x:c>
      <x:c r="E24" s="15" t="n">
        <x:v>1</x:v>
      </x:c>
      <x:c r="F24" s="15" t="n">
        <x:v>0</x:v>
      </x:c>
      <x:c r="G24" s="15" t="n">
        <x:v>0</x:v>
      </x:c>
      <x:c r="H24" s="15" t="n">
        <x:v>0</x:v>
      </x:c>
      <x:c r="I24" s="15" t="n">
        <x:v>0</x:v>
      </x:c>
      <x:c r="J24" s="15" t="n">
        <x:v>0</x:v>
      </x:c>
      <x:c r="K24" s="15" t="n">
        <x:v>0</x:v>
      </x:c>
      <x:c r="L24" s="15" t="n">
        <x:v>0</x:v>
      </x:c>
      <x:c r="M24" s="15" t="n">
        <x:v>0</x:v>
      </x:c>
      <x:c r="N24" s="15" t="n">
        <x:v>0</x:v>
      </x:c>
      <x:c r="O24" s="15" t="n">
        <x:v>0</x:v>
      </x:c>
      <x:c r="P24" s="15" t="n">
        <x:v>0</x:v>
      </x:c>
      <x:c r="Q24" s="15" t="n">
        <x:v>0</x:v>
      </x:c>
      <x:c r="R24" s="15" t="n">
        <x:v>0</x:v>
      </x:c>
      <x:c r="S24" s="15" t="str">
        <x:v>P1</x:v>
      </x:c>
      <x:c r="T24" s="15" t="str">
        <x:v>B0</x:v>
      </x:c>
    </x:row>
    <x:row r="25" ht="30" customHeight="1">
      <x:c r="A25" s="2" t="n">
        <x:v>2</x:v>
      </x:c>
      <x:c r="B25" s="2" t="str">
        <x:v>Espera llenado</x:v>
      </x:c>
      <x:c r="C25" s="14" t="str">
        <x:v>P1</x:v>
      </x:c>
      <x:c r="D25" s="14" t="str">
        <x:v>B0</x:v>
      </x:c>
      <x:c r="E25" s="14" t="n">
        <x:v>1</x:v>
      </x:c>
      <x:c r="F25" s="14" t="n">
        <x:v>0</x:v>
      </x:c>
      <x:c r="G25" s="14" t="n">
        <x:v>0</x:v>
      </x:c>
      <x:c r="H25" s="14" t="n">
        <x:v>0</x:v>
      </x:c>
      <x:c r="I25" s="14" t="n">
        <x:v>0</x:v>
      </x:c>
      <x:c r="J25" s="14" t="n">
        <x:v>0</x:v>
      </x:c>
      <x:c r="K25" s="14" t="n">
        <x:v>1</x:v>
      </x:c>
      <x:c r="L25" s="14" t="n">
        <x:v>0</x:v>
      </x:c>
      <x:c r="M25" s="14" t="n">
        <x:v>0</x:v>
      </x:c>
      <x:c r="N25" s="14" t="n">
        <x:v>0</x:v>
      </x:c>
      <x:c r="O25" s="14" t="n">
        <x:v>0</x:v>
      </x:c>
      <x:c r="P25" s="14" t="n">
        <x:v>0</x:v>
      </x:c>
      <x:c r="Q25" s="14" t="n">
        <x:v>0</x:v>
      </x:c>
      <x:c r="R25" s="14" t="n">
        <x:v>0</x:v>
      </x:c>
      <x:c r="S25" s="14" t="str">
        <x:v>P1</x:v>
      </x:c>
      <x:c r="T25" s="14" t="str">
        <x:v>B0</x:v>
      </x:c>
    </x:row>
    <x:row r="26" ht="30" customHeight="1">
      <x:c r="A26" s="9" t="n">
        <x:v>3</x:v>
      </x:c>
      <x:c r="B26" s="9" t="str">
        <x:v>Termina llenado</x:v>
      </x:c>
      <x:c r="C26" s="15" t="str">
        <x:v>P1</x:v>
      </x:c>
      <x:c r="D26" s="15" t="str">
        <x:v>B0</x:v>
      </x:c>
      <x:c r="E26" s="15" t="n">
        <x:v>1</x:v>
      </x:c>
      <x:c r="F26" s="15" t="n">
        <x:v>1</x:v>
      </x:c>
      <x:c r="G26" s="15" t="n">
        <x:v>0</x:v>
      </x:c>
      <x:c r="H26" s="15" t="n">
        <x:v>0</x:v>
      </x:c>
      <x:c r="I26" s="15" t="n">
        <x:v>0</x:v>
      </x:c>
      <x:c r="J26" s="15" t="n">
        <x:v>0</x:v>
      </x:c>
      <x:c r="K26" s="15" t="n">
        <x:v>1</x:v>
      </x:c>
      <x:c r="L26" s="15" t="n">
        <x:v>0</x:v>
      </x:c>
      <x:c r="M26" s="15" t="n">
        <x:v>0</x:v>
      </x:c>
      <x:c r="N26" s="15" t="n">
        <x:v>0</x:v>
      </x:c>
      <x:c r="O26" s="15" t="n">
        <x:v>0</x:v>
      </x:c>
      <x:c r="P26" s="15" t="n">
        <x:v>0</x:v>
      </x:c>
      <x:c r="Q26" s="15" t="n">
        <x:v>0</x:v>
      </x:c>
      <x:c r="R26" s="15" t="n">
        <x:v>0</x:v>
      </x:c>
      <x:c r="S26" s="15" t="str">
        <x:v>P2</x:v>
      </x:c>
      <x:c r="T26" s="15" t="str">
        <x:v>B0</x:v>
      </x:c>
    </x:row>
    <x:row r="27" ht="30" customHeight="1">
      <x:c r="A27" s="2" t="n">
        <x:v>4</x:v>
      </x:c>
      <x:c r="B27" s="2" t="str">
        <x:v>Espera sellado</x:v>
      </x:c>
      <x:c r="C27" s="14" t="str">
        <x:v>P2</x:v>
      </x:c>
      <x:c r="D27" s="14" t="str">
        <x:v>B0</x:v>
      </x:c>
      <x:c r="E27" s="14" t="n">
        <x:v>1</x:v>
      </x:c>
      <x:c r="F27" s="14" t="n">
        <x:v>0</x:v>
      </x:c>
      <x:c r="G27" s="14" t="n">
        <x:v>0</x:v>
      </x:c>
      <x:c r="H27" s="14" t="n">
        <x:v>0</x:v>
      </x:c>
      <x:c r="I27" s="14" t="n">
        <x:v>0</x:v>
      </x:c>
      <x:c r="J27" s="14" t="n">
        <x:v>0</x:v>
      </x:c>
      <x:c r="K27" s="14" t="n">
        <x:v>0</x:v>
      </x:c>
      <x:c r="L27" s="14" t="n">
        <x:v>1</x:v>
      </x:c>
      <x:c r="M27" s="14" t="n">
        <x:v>0</x:v>
      </x:c>
      <x:c r="N27" s="14" t="n">
        <x:v>0</x:v>
      </x:c>
      <x:c r="O27" s="14" t="n">
        <x:v>0</x:v>
      </x:c>
      <x:c r="P27" s="14" t="n">
        <x:v>0</x:v>
      </x:c>
      <x:c r="Q27" s="14" t="n">
        <x:v>0</x:v>
      </x:c>
      <x:c r="R27" s="14" t="n">
        <x:v>0</x:v>
      </x:c>
      <x:c r="S27" s="14" t="str">
        <x:v>P2</x:v>
      </x:c>
      <x:c r="T27" s="14" t="str">
        <x:v>B0</x:v>
      </x:c>
    </x:row>
    <x:row r="28" ht="30" customHeight="1">
      <x:c r="A28" s="9" t="n">
        <x:v>5</x:v>
      </x:c>
      <x:c r="B28" s="9" t="str">
        <x:v>Termina sellado</x:v>
      </x:c>
      <x:c r="C28" s="15" t="str">
        <x:v>P2</x:v>
      </x:c>
      <x:c r="D28" s="15" t="str">
        <x:v>B0</x:v>
      </x:c>
      <x:c r="E28" s="15" t="n">
        <x:v>1</x:v>
      </x:c>
      <x:c r="F28" s="15" t="n">
        <x:v>0</x:v>
      </x:c>
      <x:c r="G28" s="15" t="n">
        <x:v>1</x:v>
      </x:c>
      <x:c r="H28" s="15" t="n">
        <x:v>0</x:v>
      </x:c>
      <x:c r="I28" s="15" t="n">
        <x:v>0</x:v>
      </x:c>
      <x:c r="J28" s="15" t="n">
        <x:v>0</x:v>
      </x:c>
      <x:c r="K28" s="15" t="n">
        <x:v>0</x:v>
      </x:c>
      <x:c r="L28" s="15" t="n">
        <x:v>1</x:v>
      </x:c>
      <x:c r="M28" s="15" t="n">
        <x:v>0</x:v>
      </x:c>
      <x:c r="N28" s="15" t="n">
        <x:v>0</x:v>
      </x:c>
      <x:c r="O28" s="15" t="n">
        <x:v>0</x:v>
      </x:c>
      <x:c r="P28" s="15" t="n">
        <x:v>0</x:v>
      </x:c>
      <x:c r="Q28" s="15" t="n">
        <x:v>0</x:v>
      </x:c>
      <x:c r="R28" s="15" t="n">
        <x:v>0</x:v>
      </x:c>
      <x:c r="S28" s="15" t="str">
        <x:v>P3</x:v>
      </x:c>
      <x:c r="T28" s="15" t="str">
        <x:v>B0</x:v>
      </x:c>
    </x:row>
    <x:row r="29" ht="30" customHeight="1">
      <x:c r="A29" s="2" t="n">
        <x:v>6</x:v>
      </x:c>
      <x:c r="B29" s="2" t="str">
        <x:v>Espera inspección</x:v>
      </x:c>
      <x:c r="C29" s="14" t="str">
        <x:v>P3</x:v>
      </x:c>
      <x:c r="D29" s="14" t="str">
        <x:v>B0</x:v>
      </x:c>
      <x:c r="E29" s="14" t="n">
        <x:v>1</x:v>
      </x:c>
      <x:c r="F29" s="14" t="n">
        <x:v>0</x:v>
      </x:c>
      <x:c r="G29" s="14" t="n">
        <x:v>0</x:v>
      </x:c>
      <x:c r="H29" s="14" t="n">
        <x:v>0</x:v>
      </x:c>
      <x:c r="I29" s="14" t="n">
        <x:v>0</x:v>
      </x:c>
      <x:c r="J29" s="14" t="n">
        <x:v>0</x:v>
      </x:c>
      <x:c r="K29" s="14" t="n">
        <x:v>0</x:v>
      </x:c>
      <x:c r="L29" s="14" t="n">
        <x:v>0</x:v>
      </x:c>
      <x:c r="M29" s="14" t="n">
        <x:v>1</x:v>
      </x:c>
      <x:c r="N29" s="14" t="n">
        <x:v>0</x:v>
      </x:c>
      <x:c r="O29" s="14" t="n">
        <x:v>0</x:v>
      </x:c>
      <x:c r="P29" s="14" t="n">
        <x:v>0</x:v>
      </x:c>
      <x:c r="Q29" s="14" t="n">
        <x:v>0</x:v>
      </x:c>
      <x:c r="R29" s="14" t="n">
        <x:v>0</x:v>
      </x:c>
      <x:c r="S29" s="14" t="str">
        <x:v>P3</x:v>
      </x:c>
      <x:c r="T29" s="14" t="str">
        <x:v>B0</x:v>
      </x:c>
    </x:row>
    <x:row r="30" ht="30" customHeight="1">
      <x:c r="A30" s="9" t="n">
        <x:v>7</x:v>
      </x:c>
      <x:c r="B30" s="9" t="str">
        <x:v>Resultado de inspección</x:v>
      </x:c>
      <x:c r="C30" s="15" t="str">
        <x:v>P3</x:v>
      </x:c>
      <x:c r="D30" s="15" t="str">
        <x:v>B0</x:v>
      </x:c>
      <x:c r="E30" s="15" t="n">
        <x:v>1</x:v>
      </x:c>
      <x:c r="F30" s="15" t="n">
        <x:v>0</x:v>
      </x:c>
      <x:c r="G30" s="15" t="n">
        <x:v>0</x:v>
      </x:c>
      <x:c r="H30" s="15" t="n">
        <x:v>1</x:v>
      </x:c>
      <x:c r="I30" s="15" t="n">
        <x:v>0</x:v>
      </x:c>
      <x:c r="J30" s="15" t="n">
        <x:v>0</x:v>
      </x:c>
      <x:c r="K30" s="15" t="n">
        <x:v>0</x:v>
      </x:c>
      <x:c r="L30" s="15" t="n">
        <x:v>0</x:v>
      </x:c>
      <x:c r="M30" s="15" t="n">
        <x:v>1</x:v>
      </x:c>
      <x:c r="N30" s="15" t="n">
        <x:v>0</x:v>
      </x:c>
      <x:c r="O30" s="15" t="n">
        <x:v>0</x:v>
      </x:c>
      <x:c r="P30" s="15" t="n">
        <x:v>0</x:v>
      </x:c>
      <x:c r="Q30" s="15" t="n">
        <x:v>0</x:v>
      </x:c>
      <x:c r="R30" s="15" t="n">
        <x:v>0</x:v>
      </x:c>
      <x:c r="S30" s="15" t="str">
        <x:v>P3</x:v>
      </x:c>
      <x:c r="T30" s="15" t="str">
        <x:v>B2</x:v>
      </x:c>
    </x:row>
    <x:row r="31" ht="30" customHeight="1">
      <x:c r="A31" s="2" t="n">
        <x:v>8</x:v>
      </x:c>
      <x:c r="B31" s="2" t="str">
        <x:v>Sale por ruta elegida</x:v>
      </x:c>
      <x:c r="C31" s="14" t="str">
        <x:v>P3</x:v>
      </x:c>
      <x:c r="D31" s="14" t="str">
        <x:v>B2</x:v>
      </x:c>
      <x:c r="E31" s="14" t="n">
        <x:v>1</x:v>
      </x:c>
      <x:c r="F31" s="14" t="n">
        <x:v>0</x:v>
      </x:c>
      <x:c r="G31" s="14" t="n">
        <x:v>0</x:v>
      </x:c>
      <x:c r="H31" s="14" t="n">
        <x:v>0</x:v>
      </x:c>
      <x:c r="I31" s="14" t="n">
        <x:v>1</x:v>
      </x:c>
      <x:c r="J31" s="14" t="n">
        <x:v>0</x:v>
      </x:c>
      <x:c r="K31" s="14" t="n">
        <x:v>0</x:v>
      </x:c>
      <x:c r="L31" s="14" t="n">
        <x:v>0</x:v>
      </x:c>
      <x:c r="M31" s="14" t="n">
        <x:v>1</x:v>
      </x:c>
      <x:c r="N31" s="14" t="n">
        <x:v>1</x:v>
      </x:c>
      <x:c r="O31" s="14" t="n">
        <x:v>1</x:v>
      </x:c>
      <x:c r="P31" s="14" t="n">
        <x:v>1</x:v>
      </x:c>
      <x:c r="Q31" s="14" t="n">
        <x:v>0</x:v>
      </x:c>
      <x:c r="R31" s="14" t="n">
        <x:v>0</x:v>
      </x:c>
      <x:c r="S31" s="14" t="str">
        <x:v>P3</x:v>
      </x:c>
      <x:c r="T31" s="14" t="str">
        <x:v>B2</x:v>
      </x:c>
    </x:row>
    <x:row r="32" ht="30" customHeight="1">
      <x:c r="A32" s="9" t="n">
        <x:v>9</x:v>
      </x:c>
      <x:c r="B32" s="9" t="str">
        <x:v>Retiro confirmado</x:v>
      </x:c>
      <x:c r="C32" s="15" t="str">
        <x:v>P3</x:v>
      </x:c>
      <x:c r="D32" s="15" t="str">
        <x:v>B2</x:v>
      </x:c>
      <x:c r="E32" s="15" t="n">
        <x:v>0</x:v>
      </x:c>
      <x:c r="F32" s="15" t="n">
        <x:v>0</x:v>
      </x:c>
      <x:c r="G32" s="15" t="n">
        <x:v>0</x:v>
      </x:c>
      <x:c r="H32" s="15" t="n">
        <x:v>0</x:v>
      </x:c>
      <x:c r="I32" s="15" t="n">
        <x:v>0</x:v>
      </x:c>
      <x:c r="J32" s="15" t="n">
        <x:v>1</x:v>
      </x:c>
      <x:c r="K32" s="15" t="n">
        <x:v>0</x:v>
      </x:c>
      <x:c r="L32" s="15" t="n">
        <x:v>0</x:v>
      </x:c>
      <x:c r="M32" s="15" t="n">
        <x:v>1</x:v>
      </x:c>
      <x:c r="N32" s="15" t="n">
        <x:v>0</x:v>
      </x:c>
      <x:c r="O32" s="15" t="n">
        <x:v>0</x:v>
      </x:c>
      <x:c r="P32" s="15" t="n">
        <x:v>1</x:v>
      </x:c>
      <x:c r="Q32" s="15" t="n">
        <x:v>0</x:v>
      </x:c>
      <x:c r="R32" s="15" t="n">
        <x:v>1</x:v>
      </x:c>
      <x:c r="S32" s="15" t="str">
        <x:v>P0</x:v>
      </x:c>
      <x:c r="T32" s="15" t="str">
        <x:v>B3</x:v>
      </x:c>
    </x:row>
    <x:row r="33" ht="30" customHeight="1">
      <x:c r="A33" s="2" t="n">
        <x:v>10</x:v>
      </x:c>
      <x:c r="B33" s="2" t="str">
        <x:v>Rearme de clasificación</x:v>
      </x:c>
      <x:c r="C33" s="14" t="str">
        <x:v>P0</x:v>
      </x:c>
      <x:c r="D33" s="14" t="str">
        <x:v>B3</x:v>
      </x:c>
      <x:c r="E33" s="14" t="n">
        <x:v>0</x:v>
      </x:c>
      <x:c r="F33" s="14" t="n">
        <x:v>0</x:v>
      </x:c>
      <x:c r="G33" s="14" t="n">
        <x:v>0</x:v>
      </x:c>
      <x:c r="H33" s="14" t="n">
        <x:v>0</x:v>
      </x:c>
      <x:c r="I33" s="14" t="n">
        <x:v>0</x:v>
      </x:c>
      <x:c r="J33" s="14" t="n">
        <x:v>0</x:v>
      </x:c>
      <x:c r="K33" s="14" t="n">
        <x:v>0</x:v>
      </x:c>
      <x:c r="L33" s="14" t="n">
        <x:v>0</x:v>
      </x:c>
      <x:c r="M33" s="14" t="n">
        <x:v>0</x:v>
      </x:c>
      <x:c r="N33" s="14" t="n">
        <x:v>0</x:v>
      </x:c>
      <x:c r="O33" s="14" t="n">
        <x:v>0</x:v>
      </x:c>
      <x:c r="P33" s="14" t="n">
        <x:v>0</x:v>
      </x:c>
      <x:c r="Q33" s="14" t="n">
        <x:v>0</x:v>
      </x:c>
      <x:c r="R33" s="14" t="n">
        <x:v>0</x:v>
      </x:c>
      <x:c r="S33" s="14" t="str">
        <x:v>P0</x:v>
      </x:c>
      <x:c r="T33" s="14" t="str">
        <x:v>B0</x:v>
      </x:c>
    </x:row>
    <x:row r="34" ht="30" customHeight="1">
      <x:c r="A34" s="9" t="n">
        <x:v>11</x:v>
      </x:c>
      <x:c r="B34" s="9" t="str">
        <x:v>Listo para otro envase</x:v>
      </x:c>
      <x:c r="C34" s="15" t="str">
        <x:v>P0</x:v>
      </x:c>
      <x:c r="D34" s="15" t="str">
        <x:v>B0</x:v>
      </x:c>
      <x:c r="E34" s="15" t="n">
        <x:v>0</x:v>
      </x:c>
      <x:c r="F34" s="15" t="n">
        <x:v>0</x:v>
      </x:c>
      <x:c r="G34" s="15" t="n">
        <x:v>0</x:v>
      </x:c>
      <x:c r="H34" s="15" t="n">
        <x:v>0</x:v>
      </x:c>
      <x:c r="I34" s="15" t="n">
        <x:v>0</x:v>
      </x:c>
      <x:c r="J34" s="15" t="n">
        <x:v>0</x:v>
      </x:c>
      <x:c r="K34" s="15" t="n">
        <x:v>0</x:v>
      </x:c>
      <x:c r="L34" s="15" t="n">
        <x:v>0</x:v>
      </x:c>
      <x:c r="M34" s="15" t="n">
        <x:v>0</x:v>
      </x:c>
      <x:c r="N34" s="15" t="n">
        <x:v>0</x:v>
      </x:c>
      <x:c r="O34" s="15" t="n">
        <x:v>0</x:v>
      </x:c>
      <x:c r="P34" s="15" t="n">
        <x:v>0</x:v>
      </x:c>
      <x:c r="Q34" s="15" t="n">
        <x:v>0</x:v>
      </x:c>
      <x:c r="R34" s="15" t="n">
        <x:v>0</x:v>
      </x:c>
      <x:c r="S34" s="15" t="str">
        <x:v>P0</x:v>
      </x:c>
      <x:c r="T34" s="15" t="str">
        <x:v>B0</x:v>
      </x:c>
    </x:row>
    <x:row r="35" ht="23" customHeight="1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</x:row>
    <x:row r="36" ht="23" customHeight="1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</x:row>
    <x:row r="37" ht="23" customHeight="1">
      <x:c r="A37" s="4" t="str">
        <x:v>La variación de G durante el retiro comprueba que la ruta queda guardada en B1 o B2.</x:v>
      </x:c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</x:row>
    <x:row r="38" ht="23" customHeight="1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</x:row>
    <x:row r="39" ht="23" customHeight="1">
      <x:c r="A39" s="4" t="str">
        <x:v>R significa que el envase ya salió por completo. No activarlo mientras todavía pasa por el desviador.</x:v>
      </x:c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</x:row>
    <x:row r="40" ht="23" customHeight="1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</x:row>
    <x:row r="41" ht="23" customHeight="1">
      <x:c r="A41" s="4" t="str">
        <x:v>Al retirar el envase, E vuelve a 0. Reiniciar L, S, I y R antes del siguiente ciclo.</x:v>
      </x:c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</x:row>
    <x:row r="42" ht="23" customHeight="1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</x:row>
    <x:row r="43" ht="23" customHeight="1">
      <x:c r="A43" s="4" t="str">
        <x:v>Estas secuencias son resultados esperados del modelo; aún deben reproducirse al construir top.circ en Logisim.</x:v>
      </x:c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</x:row>
    <x:row r="44" ht="23" customHeight="1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</x:row>
    <x:row r="45" ht="23" customHeight="1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</x:row>
    <x:row r="46" ht="23" customHeight="1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</x:row>
    <x:row r="47" ht="23" customHeight="1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</x:row>
  </x:sheetData>
  <x:pageMargins left="0.7" right="0.7" top="0.75" bottom="0.75" header="0.3" footer="0.3"/>
</x:worksheet>
</file>